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c826ca91fa0e247b/Documents/Financial Models/Business Plan/محتوى مالي/Tools ^0 Calculators/"/>
    </mc:Choice>
  </mc:AlternateContent>
  <xr:revisionPtr revIDLastSave="15" documentId="8_{D6E36599-6545-4265-BD41-29E7ED9589E7}" xr6:coauthVersionLast="47" xr6:coauthVersionMax="47" xr10:uidLastSave="{6C1B0C66-BD34-49EC-9C07-B5D4CC5827FD}"/>
  <bookViews>
    <workbookView xWindow="-110" yWindow="-110" windowWidth="19420" windowHeight="10300" xr2:uid="{5B4B18F1-A142-44B1-89D6-484576612ACE}"/>
  </bookViews>
  <sheets>
    <sheet name="Sheet1" sheetId="1" r:id="rId1"/>
  </sheets>
  <definedNames>
    <definedName name="compound_period">deposits_per_year</definedName>
    <definedName name="deposits_per_year">INDEX({1,2,4,6,12,24,26,52,365},MATCH(Sheet1!$E$12,frequency,0))</definedName>
    <definedName name="frequency">{"سنويا";"Semi-Annually";"Quarterly";"Bi-Monthly";"Monthly";"Semi-Monthly";"Bi-Weekly";"Weekly";"Daily"}</definedName>
    <definedName name="randrate">Sheet1!$H$17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 i="1" l="1"/>
  <c r="F19" i="1"/>
  <c r="C19" i="1"/>
  <c r="A20" i="1"/>
  <c r="F18" i="1"/>
  <c r="H18" i="1"/>
  <c r="D19" i="1" l="1"/>
  <c r="K19" i="1" s="1"/>
  <c r="J19" i="1"/>
  <c r="C20" i="1"/>
  <c r="F20" i="1"/>
  <c r="A21" i="1"/>
  <c r="H19" i="1" l="1"/>
  <c r="D20" i="1"/>
  <c r="H20" i="1" s="1"/>
  <c r="D21" i="1" s="1"/>
  <c r="A22" i="1"/>
  <c r="F21" i="1"/>
  <c r="J21" i="1" s="1"/>
  <c r="C21" i="1"/>
  <c r="J20" i="1"/>
  <c r="K20" i="1" l="1"/>
  <c r="A23" i="1"/>
  <c r="F22" i="1"/>
  <c r="J22" i="1" s="1"/>
  <c r="C22" i="1"/>
  <c r="H21" i="1"/>
  <c r="D22" i="1" s="1"/>
  <c r="A24" i="1" l="1"/>
  <c r="F23" i="1"/>
  <c r="J23" i="1" s="1"/>
  <c r="C23" i="1"/>
  <c r="K21" i="1"/>
  <c r="A25" i="1" l="1"/>
  <c r="C24" i="1"/>
  <c r="F24" i="1"/>
  <c r="H22" i="1"/>
  <c r="D23" i="1" s="1"/>
  <c r="K23" i="1" s="1"/>
  <c r="K22" i="1"/>
  <c r="A26" i="1" l="1"/>
  <c r="C25" i="1"/>
  <c r="F25" i="1"/>
  <c r="J25" i="1" s="1"/>
  <c r="J24" i="1"/>
  <c r="H23" i="1"/>
  <c r="D24" i="1" s="1"/>
  <c r="A27" i="1" l="1"/>
  <c r="F26" i="1"/>
  <c r="J26" i="1" s="1"/>
  <c r="C26" i="1"/>
  <c r="H24" i="1"/>
  <c r="D25" i="1" s="1"/>
  <c r="K24" i="1"/>
  <c r="A28" i="1" l="1"/>
  <c r="F27" i="1"/>
  <c r="J27" i="1" s="1"/>
  <c r="C27" i="1"/>
  <c r="H25" i="1"/>
  <c r="D26" i="1" s="1"/>
  <c r="K25" i="1"/>
  <c r="A29" i="1" l="1"/>
  <c r="F28" i="1"/>
  <c r="C28" i="1"/>
  <c r="K26" i="1"/>
  <c r="J28" i="1" l="1"/>
  <c r="A30" i="1"/>
  <c r="F29" i="1"/>
  <c r="C29" i="1"/>
  <c r="H26" i="1"/>
  <c r="D27" i="1" s="1"/>
  <c r="J29" i="1" l="1"/>
  <c r="A31" i="1"/>
  <c r="C30" i="1"/>
  <c r="F30" i="1"/>
  <c r="H27" i="1"/>
  <c r="D28" i="1" s="1"/>
  <c r="J30" i="1" l="1"/>
  <c r="A32" i="1"/>
  <c r="C31" i="1"/>
  <c r="F31" i="1"/>
  <c r="J31" i="1" s="1"/>
  <c r="K27" i="1"/>
  <c r="K28" i="1"/>
  <c r="A33" i="1" l="1"/>
  <c r="C32" i="1"/>
  <c r="F32" i="1"/>
  <c r="J32" i="1" s="1"/>
  <c r="H28" i="1"/>
  <c r="D29" i="1" s="1"/>
  <c r="A34" i="1" l="1"/>
  <c r="C33" i="1"/>
  <c r="F33" i="1"/>
  <c r="J33" i="1" s="1"/>
  <c r="K29" i="1"/>
  <c r="A35" i="1" l="1"/>
  <c r="F34" i="1"/>
  <c r="J34" i="1" s="1"/>
  <c r="C34" i="1"/>
  <c r="H29" i="1"/>
  <c r="D30" i="1" s="1"/>
  <c r="A36" i="1" l="1"/>
  <c r="F35" i="1"/>
  <c r="J35" i="1" s="1"/>
  <c r="C35" i="1"/>
  <c r="K30" i="1"/>
  <c r="A37" i="1" l="1"/>
  <c r="F36" i="1"/>
  <c r="J36" i="1" s="1"/>
  <c r="C36" i="1"/>
  <c r="H30" i="1"/>
  <c r="D31" i="1" s="1"/>
  <c r="A38" i="1" l="1"/>
  <c r="F37" i="1"/>
  <c r="J37" i="1" s="1"/>
  <c r="C37" i="1"/>
  <c r="K31" i="1"/>
  <c r="A39" i="1" l="1"/>
  <c r="C38" i="1"/>
  <c r="J38" i="1"/>
  <c r="F38" i="1"/>
  <c r="H31" i="1"/>
  <c r="D32" i="1" s="1"/>
  <c r="A40" i="1" l="1"/>
  <c r="C39" i="1"/>
  <c r="J39" i="1"/>
  <c r="F39" i="1"/>
  <c r="K32" i="1"/>
  <c r="A41" i="1" l="1"/>
  <c r="C40" i="1"/>
  <c r="F40" i="1"/>
  <c r="J40" i="1" s="1"/>
  <c r="H32" i="1"/>
  <c r="D33" i="1" s="1"/>
  <c r="A42" i="1" l="1"/>
  <c r="C41" i="1"/>
  <c r="F41" i="1"/>
  <c r="J41" i="1" s="1"/>
  <c r="K33" i="1"/>
  <c r="A43" i="1" l="1"/>
  <c r="F42" i="1"/>
  <c r="J42" i="1" s="1"/>
  <c r="C42" i="1"/>
  <c r="H33" i="1"/>
  <c r="D34" i="1" s="1"/>
  <c r="A44" i="1" l="1"/>
  <c r="F43" i="1"/>
  <c r="J43" i="1" s="1"/>
  <c r="C43" i="1"/>
  <c r="K34" i="1"/>
  <c r="A45" i="1" l="1"/>
  <c r="F44" i="1"/>
  <c r="J44" i="1" s="1"/>
  <c r="C44" i="1"/>
  <c r="H34" i="1"/>
  <c r="D35" i="1" s="1"/>
  <c r="A46" i="1" l="1"/>
  <c r="F45" i="1"/>
  <c r="J45" i="1" s="1"/>
  <c r="C45" i="1"/>
  <c r="K35" i="1"/>
  <c r="A47" i="1" l="1"/>
  <c r="C46" i="1"/>
  <c r="F46" i="1"/>
  <c r="J46" i="1" s="1"/>
  <c r="H35" i="1"/>
  <c r="D36" i="1" s="1"/>
  <c r="A48" i="1" l="1"/>
  <c r="C47" i="1"/>
  <c r="F47" i="1"/>
  <c r="J47" i="1" s="1"/>
  <c r="K36" i="1"/>
  <c r="A49" i="1" l="1"/>
  <c r="C48" i="1"/>
  <c r="F48" i="1"/>
  <c r="H10" i="1" s="1"/>
  <c r="H36" i="1"/>
  <c r="D37" i="1" s="1"/>
  <c r="J48" i="1" l="1"/>
  <c r="A50" i="1"/>
  <c r="D49" i="1"/>
  <c r="C49" i="1"/>
  <c r="F49" i="1"/>
  <c r="H49" i="1"/>
  <c r="K49" i="1"/>
  <c r="J49" i="1"/>
  <c r="K37" i="1"/>
  <c r="A51" i="1" l="1"/>
  <c r="F50" i="1"/>
  <c r="C50" i="1"/>
  <c r="D50" i="1"/>
  <c r="K50" i="1"/>
  <c r="J50" i="1"/>
  <c r="H50" i="1"/>
  <c r="H37" i="1"/>
  <c r="D38" i="1" s="1"/>
  <c r="A52" i="1" l="1"/>
  <c r="K51" i="1"/>
  <c r="J51" i="1"/>
  <c r="F51" i="1"/>
  <c r="D51" i="1"/>
  <c r="C51" i="1"/>
  <c r="H51" i="1"/>
  <c r="K38" i="1"/>
  <c r="A53" i="1" l="1"/>
  <c r="K52" i="1"/>
  <c r="J52" i="1"/>
  <c r="F52" i="1"/>
  <c r="D52" i="1"/>
  <c r="C52" i="1"/>
  <c r="H52" i="1"/>
  <c r="H38" i="1"/>
  <c r="D39" i="1" s="1"/>
  <c r="A54" i="1" l="1"/>
  <c r="K53" i="1"/>
  <c r="J53" i="1"/>
  <c r="H53" i="1"/>
  <c r="F53" i="1"/>
  <c r="D53" i="1"/>
  <c r="C53" i="1"/>
  <c r="K39" i="1"/>
  <c r="A55" i="1" l="1"/>
  <c r="H54" i="1"/>
  <c r="K54" i="1"/>
  <c r="J54" i="1"/>
  <c r="C54" i="1"/>
  <c r="F54" i="1"/>
  <c r="D54" i="1"/>
  <c r="H39" i="1"/>
  <c r="D40" i="1" s="1"/>
  <c r="A56" i="1" l="1"/>
  <c r="H55" i="1"/>
  <c r="C55" i="1"/>
  <c r="K55" i="1"/>
  <c r="J55" i="1"/>
  <c r="F55" i="1"/>
  <c r="D55" i="1"/>
  <c r="K40" i="1"/>
  <c r="A57" i="1" l="1"/>
  <c r="H56" i="1"/>
  <c r="C56" i="1"/>
  <c r="D56" i="1"/>
  <c r="K56" i="1"/>
  <c r="J56" i="1"/>
  <c r="F56" i="1"/>
  <c r="H40" i="1"/>
  <c r="D41" i="1" s="1"/>
  <c r="A58" i="1" l="1"/>
  <c r="D57" i="1"/>
  <c r="C57" i="1"/>
  <c r="F57" i="1"/>
  <c r="H57" i="1"/>
  <c r="K57" i="1"/>
  <c r="J57" i="1"/>
  <c r="K41" i="1"/>
  <c r="A59" i="1" l="1"/>
  <c r="F58" i="1"/>
  <c r="C58" i="1"/>
  <c r="D58" i="1"/>
  <c r="J58" i="1"/>
  <c r="K58" i="1"/>
  <c r="H58" i="1"/>
  <c r="H41" i="1"/>
  <c r="D42" i="1" s="1"/>
  <c r="K59" i="1" l="1"/>
  <c r="J59" i="1"/>
  <c r="F59" i="1"/>
  <c r="D59" i="1"/>
  <c r="C59" i="1"/>
  <c r="H59" i="1"/>
  <c r="K42" i="1"/>
  <c r="H42" i="1" l="1"/>
  <c r="D43" i="1" s="1"/>
  <c r="K43" i="1" l="1"/>
  <c r="H43" i="1" l="1"/>
  <c r="D44" i="1" s="1"/>
  <c r="K44" i="1" l="1"/>
  <c r="H44" i="1" l="1"/>
  <c r="D45" i="1" s="1"/>
  <c r="K45" i="1" l="1"/>
  <c r="H45" i="1" l="1"/>
  <c r="D46" i="1" s="1"/>
  <c r="K46" i="1" l="1"/>
  <c r="H46" i="1" l="1"/>
  <c r="D47" i="1" s="1"/>
  <c r="K47" i="1" l="1"/>
  <c r="H47" i="1" l="1"/>
  <c r="D48" i="1" s="1"/>
  <c r="H11" i="1" s="1"/>
  <c r="H48" i="1" l="1"/>
  <c r="K48" i="1" l="1"/>
  <c r="H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author>
    <author>Jon</author>
  </authors>
  <commentList>
    <comment ref="D6" authorId="0" shapeId="0" xr:uid="{165A6AEB-3D86-44FA-A2A2-22FFCF37A237}">
      <text>
        <r>
          <rPr>
            <b/>
            <sz val="8"/>
            <color indexed="81"/>
            <rFont val="Tahoma"/>
            <family val="2"/>
          </rPr>
          <t>Years To Invest:</t>
        </r>
        <r>
          <rPr>
            <sz val="8"/>
            <color indexed="81"/>
            <rFont val="Tahoma"/>
            <family val="2"/>
          </rPr>
          <t xml:space="preserve">
Number of years to make deposits to your savings. </t>
        </r>
      </text>
    </comment>
    <comment ref="D7" authorId="1" shapeId="0" xr:uid="{79D3ABAF-534F-4B48-9DE4-0C5295B0D597}">
      <text>
        <r>
          <rPr>
            <b/>
            <sz val="8"/>
            <color indexed="81"/>
            <rFont val="Tahoma"/>
            <family val="2"/>
          </rPr>
          <t>Initial Investment:</t>
        </r>
        <r>
          <rPr>
            <sz val="8"/>
            <color indexed="81"/>
            <rFont val="Tahoma"/>
            <family val="2"/>
          </rPr>
          <t xml:space="preserve">
This is the starting value of your savings account. All other deposits are made at the end of the year or at the end of the specified investment period.</t>
        </r>
      </text>
    </comment>
    <comment ref="D8" authorId="0" shapeId="0" xr:uid="{FF634D57-A7C4-440A-927E-6ED15BC681D9}">
      <text>
        <r>
          <rPr>
            <b/>
            <sz val="8"/>
            <color indexed="81"/>
            <rFont val="Tahoma"/>
            <family val="2"/>
          </rPr>
          <t>Expected Annual Interest Rate:</t>
        </r>
        <r>
          <rPr>
            <sz val="8"/>
            <color indexed="81"/>
            <rFont val="Tahoma"/>
            <family val="2"/>
          </rPr>
          <t xml:space="preserve">
This spreadsheet assumes a </t>
        </r>
        <r>
          <rPr>
            <b/>
            <sz val="8"/>
            <color indexed="81"/>
            <rFont val="Tahoma"/>
            <family val="2"/>
          </rPr>
          <t xml:space="preserve">fixed </t>
        </r>
        <r>
          <rPr>
            <sz val="8"/>
            <color indexed="81"/>
            <rFont val="Tahoma"/>
            <family val="2"/>
          </rPr>
          <t>annual interest rate, unless the "Use Random Rates" box is checked.
The interest is compounded according to the deposit frequency that you choose, and it is assumed that the deposits are made at the end of each period.</t>
        </r>
      </text>
    </comment>
    <comment ref="D11" authorId="1" shapeId="0" xr:uid="{354EA5A3-1BFA-4B68-8CFC-645DCDAF3888}">
      <text>
        <r>
          <rPr>
            <b/>
            <sz val="8"/>
            <color indexed="81"/>
            <rFont val="Tahoma"/>
            <family val="2"/>
          </rPr>
          <t>Deposit Amount:</t>
        </r>
        <r>
          <rPr>
            <sz val="8"/>
            <color indexed="81"/>
            <rFont val="Tahoma"/>
            <family val="2"/>
          </rPr>
          <t xml:space="preserve">
The amount you plan to add to your savings account or investment at the end of the period specified by the </t>
        </r>
        <r>
          <rPr>
            <b/>
            <sz val="8"/>
            <color indexed="81"/>
            <rFont val="Tahoma"/>
            <family val="2"/>
          </rPr>
          <t>Deposit Frequency</t>
        </r>
        <r>
          <rPr>
            <sz val="8"/>
            <color indexed="81"/>
            <rFont val="Tahoma"/>
            <family val="2"/>
          </rPr>
          <t>.</t>
        </r>
      </text>
    </comment>
    <comment ref="D12" authorId="1" shapeId="0" xr:uid="{D1722BA6-AD5A-47CA-89EC-3F349AC27C61}">
      <text>
        <r>
          <rPr>
            <b/>
            <sz val="8"/>
            <color indexed="81"/>
            <rFont val="Tahoma"/>
            <family val="2"/>
          </rPr>
          <t>Deposit Frequency:</t>
        </r>
        <r>
          <rPr>
            <sz val="8"/>
            <color indexed="81"/>
            <rFont val="Tahoma"/>
            <family val="2"/>
          </rPr>
          <t xml:space="preserve">
Used to specify the number of contributions or deposits made per year. The deposit is made and the end of the period.
Monthly = 12 deposits per year
Semi-Monthly = 24 / yr
Bi-Weekly = 26 / yr
Weekly = 52 / yr
Annually = 1 / yr
Semi-Annually = 2 / yr
Quarterly = 4 / yr
Bi-Monthly = 6 / yr
Daily = 365 / yr</t>
        </r>
      </text>
    </comment>
    <comment ref="D13" authorId="1" shapeId="0" xr:uid="{0F6B7AE6-64AA-47AD-A243-6C41F573FEC5}">
      <text>
        <r>
          <rPr>
            <b/>
            <sz val="8"/>
            <color indexed="81"/>
            <rFont val="Tahoma"/>
            <family val="2"/>
          </rPr>
          <t>Additional Annual Investment:</t>
        </r>
        <r>
          <rPr>
            <sz val="8"/>
            <color indexed="81"/>
            <rFont val="Tahoma"/>
            <family val="2"/>
          </rPr>
          <t xml:space="preserve">
The amount you plan to add to your savings account or investment at the end of each year.</t>
        </r>
      </text>
    </comment>
    <comment ref="D17" authorId="1" shapeId="0" xr:uid="{E3A5368B-9AA7-485C-89B6-BAA3A8A53369}">
      <text>
        <r>
          <rPr>
            <b/>
            <sz val="8"/>
            <color indexed="81"/>
            <rFont val="Tahoma"/>
            <family val="2"/>
          </rPr>
          <t>Estimated Annual Interest:</t>
        </r>
        <r>
          <rPr>
            <sz val="8"/>
            <color indexed="81"/>
            <rFont val="Tahoma"/>
            <family val="2"/>
          </rPr>
          <t xml:space="preserve">
The interest is calculated using the FV formula to account for the contributions that may be made monthly, weekly, etc. within the year.</t>
        </r>
      </text>
    </comment>
    <comment ref="F17" authorId="1" shapeId="0" xr:uid="{A6FA7A73-48B6-450E-B315-EF36B6F5F216}">
      <text>
        <r>
          <rPr>
            <b/>
            <sz val="8"/>
            <color indexed="81"/>
            <rFont val="Tahoma"/>
            <family val="2"/>
          </rPr>
          <t>Scheduled Deposits:</t>
        </r>
        <r>
          <rPr>
            <sz val="8"/>
            <color indexed="81"/>
            <rFont val="Tahoma"/>
            <family val="2"/>
          </rPr>
          <t xml:space="preserve">
The total scheduled deposits made this year, including the Deposit Amount and the Extra Annual Investments, if any.</t>
        </r>
      </text>
    </comment>
    <comment ref="G17" authorId="1" shapeId="0" xr:uid="{BDE10233-E7A8-4FB9-A68A-C95E27263AD0}">
      <text>
        <r>
          <rPr>
            <b/>
            <sz val="8"/>
            <color indexed="81"/>
            <rFont val="Tahoma"/>
            <family val="2"/>
          </rPr>
          <t>Extra Annual Deposits:</t>
        </r>
        <r>
          <rPr>
            <sz val="8"/>
            <color indexed="81"/>
            <rFont val="Tahoma"/>
            <family val="2"/>
          </rPr>
          <t xml:space="preserve">
You can enter a </t>
        </r>
        <r>
          <rPr>
            <b/>
            <sz val="8"/>
            <color indexed="81"/>
            <rFont val="Tahoma"/>
            <family val="2"/>
          </rPr>
          <t>negative</t>
        </r>
        <r>
          <rPr>
            <sz val="8"/>
            <color indexed="81"/>
            <rFont val="Tahoma"/>
            <family val="2"/>
          </rPr>
          <t xml:space="preserve"> amount here to indicate that you plan to make less than the scheduled Additional Annual Investment in a particular year, or a </t>
        </r>
        <r>
          <rPr>
            <b/>
            <sz val="8"/>
            <color indexed="81"/>
            <rFont val="Tahoma"/>
            <family val="2"/>
          </rPr>
          <t xml:space="preserve">positive </t>
        </r>
        <r>
          <rPr>
            <sz val="8"/>
            <color indexed="81"/>
            <rFont val="Tahoma"/>
            <family val="2"/>
          </rPr>
          <t>amount to indicate that you plan to make a more sizable contribution in a particular year.</t>
        </r>
      </text>
    </comment>
    <comment ref="H17" authorId="1" shapeId="0" xr:uid="{BD35424E-1395-43FF-90AC-270CFC845E3D}">
      <text>
        <r>
          <rPr>
            <sz val="8"/>
            <color indexed="81"/>
            <rFont val="Tahoma"/>
            <family val="2"/>
          </rPr>
          <t xml:space="preserve">Balance at the </t>
        </r>
        <r>
          <rPr>
            <b/>
            <sz val="8"/>
            <color indexed="81"/>
            <rFont val="Tahoma"/>
            <family val="2"/>
          </rPr>
          <t>end of the year</t>
        </r>
        <r>
          <rPr>
            <sz val="8"/>
            <color indexed="81"/>
            <rFont val="Tahoma"/>
            <family val="2"/>
          </rPr>
          <t>.</t>
        </r>
      </text>
    </comment>
    <comment ref="J17" authorId="1" shapeId="0" xr:uid="{C404B21F-7907-43DA-87D3-47DCCE1FFC20}">
      <text>
        <r>
          <rPr>
            <sz val="8"/>
            <color indexed="81"/>
            <rFont val="Tahoma"/>
            <family val="2"/>
          </rPr>
          <t>This column is used to create the "My Investment" line in the graph.</t>
        </r>
      </text>
    </comment>
  </commentList>
</comments>
</file>

<file path=xl/sharedStrings.xml><?xml version="1.0" encoding="utf-8"?>
<sst xmlns="http://schemas.openxmlformats.org/spreadsheetml/2006/main" count="23" uniqueCount="23">
  <si>
    <t>Years to Invest</t>
  </si>
  <si>
    <t>Initial Investment</t>
  </si>
  <si>
    <t>Expected Annual Interest Rate</t>
  </si>
  <si>
    <t>Scheduled Deposits</t>
  </si>
  <si>
    <t>Deposit Amount</t>
  </si>
  <si>
    <t>Deposit Frequency</t>
  </si>
  <si>
    <t>Monthly</t>
  </si>
  <si>
    <t>Additional Annual Investments</t>
  </si>
  <si>
    <t>حاسبة الادخار بالفائدة المركبة</t>
  </si>
  <si>
    <t>ملخص النتائج</t>
  </si>
  <si>
    <t>مدخلات خطة التوفير</t>
  </si>
  <si>
    <t>القيمة المستقبلية المقدرة</t>
  </si>
  <si>
    <t>تفاصيل القيمة المستقبلية</t>
  </si>
  <si>
    <t>المبلغ المستثمر</t>
  </si>
  <si>
    <t>الفائدة المقدرة</t>
  </si>
  <si>
    <t>السنة</t>
  </si>
  <si>
    <t>النسبة</t>
  </si>
  <si>
    <t>قيمة الفائدة</t>
  </si>
  <si>
    <t>الإيداع</t>
  </si>
  <si>
    <t>إيداع اخر</t>
  </si>
  <si>
    <t>الرصيد</t>
  </si>
  <si>
    <t>مجموع الإيداع</t>
  </si>
  <si>
    <t>مجموع الفائدة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</si>
</sst>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2000000]0"/>
    <numFmt numFmtId="166" formatCode="[$-2000401]0"/>
    <numFmt numFmtId="167" formatCode="[$-2000000]%#.##00"/>
    <numFmt numFmtId="168" formatCode="[$-2000401]#,##0"/>
  </numFmts>
  <fonts count="15" x14ac:knownFonts="1">
    <font>
      <sz val="11"/>
      <color theme="1"/>
      <name val="Calibri"/>
      <family val="2"/>
      <scheme val="minor"/>
    </font>
    <font>
      <sz val="11"/>
      <color theme="1"/>
      <name val="Calibri"/>
      <family val="2"/>
      <scheme val="minor"/>
    </font>
    <font>
      <b/>
      <sz val="10"/>
      <name val="Arial"/>
      <family val="2"/>
    </font>
    <font>
      <sz val="10"/>
      <name val="Arial"/>
      <family val="2"/>
    </font>
    <font>
      <b/>
      <sz val="12"/>
      <name val="Arial"/>
      <family val="2"/>
    </font>
    <font>
      <sz val="8"/>
      <name val="Arial"/>
      <family val="2"/>
    </font>
    <font>
      <b/>
      <sz val="8"/>
      <color indexed="81"/>
      <name val="Tahoma"/>
      <family val="2"/>
    </font>
    <font>
      <sz val="8"/>
      <color indexed="81"/>
      <name val="Tahoma"/>
      <family val="2"/>
    </font>
    <font>
      <b/>
      <sz val="18"/>
      <color theme="0"/>
      <name val="Arial"/>
      <family val="2"/>
    </font>
    <font>
      <b/>
      <sz val="14"/>
      <name val="Arial"/>
      <family val="2"/>
    </font>
    <font>
      <u/>
      <sz val="10"/>
      <color indexed="12"/>
      <name val="Arial"/>
      <family val="2"/>
    </font>
    <font>
      <u/>
      <sz val="8"/>
      <color indexed="12"/>
      <name val="Arial"/>
      <family val="2"/>
    </font>
    <font>
      <b/>
      <sz val="12"/>
      <color indexed="9"/>
      <name val="Arial"/>
      <family val="2"/>
    </font>
    <font>
      <sz val="11"/>
      <name val="Arial"/>
      <family val="2"/>
    </font>
    <font>
      <b/>
      <i/>
      <sz val="10"/>
      <color indexed="23"/>
      <name val="Arial"/>
      <family val="2"/>
    </font>
  </fonts>
  <fills count="8">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indexed="43"/>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8" tint="0.79998168889431442"/>
        <bgColor indexed="64"/>
      </patternFill>
    </fill>
  </fills>
  <borders count="8">
    <border>
      <left/>
      <right/>
      <top/>
      <bottom/>
      <diagonal/>
    </border>
    <border>
      <left/>
      <right/>
      <top/>
      <bottom style="medium">
        <color theme="4"/>
      </bottom>
      <diagonal/>
    </border>
    <border>
      <left/>
      <right/>
      <top/>
      <bottom style="medium">
        <color theme="4" tint="0.39994506668294322"/>
      </bottom>
      <diagonal/>
    </border>
    <border>
      <left/>
      <right/>
      <top/>
      <bottom style="medium">
        <color theme="8" tint="0.39994506668294322"/>
      </bottom>
      <diagonal/>
    </border>
    <border>
      <left style="thin">
        <color indexed="55"/>
      </left>
      <right style="thin">
        <color indexed="55"/>
      </right>
      <top style="thin">
        <color indexed="55"/>
      </top>
      <bottom style="thin">
        <color indexed="55"/>
      </bottom>
      <diagonal/>
    </border>
    <border>
      <left/>
      <right/>
      <top/>
      <bottom style="medium">
        <color theme="8" tint="-0.24994659260841701"/>
      </bottom>
      <diagonal/>
    </border>
    <border>
      <left/>
      <right/>
      <top style="medium">
        <color theme="8" tint="-0.24994659260841701"/>
      </top>
      <bottom/>
      <diagonal/>
    </border>
    <border>
      <left style="thin">
        <color indexed="55"/>
      </left>
      <right style="thin">
        <color indexed="55"/>
      </right>
      <top/>
      <bottom style="thin">
        <color indexed="55"/>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alignment vertical="top"/>
      <protection locked="0"/>
    </xf>
  </cellStyleXfs>
  <cellXfs count="52">
    <xf numFmtId="0" fontId="0" fillId="0" borderId="0" xfId="0"/>
    <xf numFmtId="0" fontId="2" fillId="2" borderId="1" xfId="0" applyFont="1" applyFill="1" applyBorder="1" applyAlignment="1">
      <alignment horizontal="center" wrapText="1"/>
    </xf>
    <xf numFmtId="0" fontId="2" fillId="2" borderId="1" xfId="0" applyFont="1" applyFill="1" applyBorder="1" applyAlignment="1">
      <alignment horizontal="right" wrapText="1"/>
    </xf>
    <xf numFmtId="0" fontId="4" fillId="2" borderId="1" xfId="0" applyFont="1" applyFill="1" applyBorder="1" applyAlignment="1">
      <alignment horizontal="right" wrapText="1"/>
    </xf>
    <xf numFmtId="0" fontId="3" fillId="0" borderId="0" xfId="0" applyFont="1"/>
    <xf numFmtId="0" fontId="5" fillId="3" borderId="0" xfId="0" applyFont="1" applyFill="1" applyAlignment="1">
      <alignment horizontal="center"/>
    </xf>
    <xf numFmtId="0" fontId="5" fillId="0" borderId="0" xfId="0" applyFont="1" applyAlignment="1">
      <alignment horizontal="center"/>
    </xf>
    <xf numFmtId="8" fontId="3" fillId="0" borderId="0" xfId="0" applyNumberFormat="1" applyFont="1"/>
    <xf numFmtId="0" fontId="8" fillId="5" borderId="0" xfId="0" applyFont="1" applyFill="1" applyAlignment="1">
      <alignment vertical="center"/>
    </xf>
    <xf numFmtId="0" fontId="9" fillId="5" borderId="0" xfId="0" applyFont="1" applyFill="1" applyAlignment="1">
      <alignment vertical="center"/>
    </xf>
    <xf numFmtId="0" fontId="3" fillId="5" borderId="0" xfId="0" applyFont="1" applyFill="1"/>
    <xf numFmtId="0" fontId="5" fillId="5" borderId="0" xfId="0" applyFont="1" applyFill="1" applyAlignment="1">
      <alignment horizontal="right"/>
    </xf>
    <xf numFmtId="0" fontId="11" fillId="0" borderId="0" xfId="4" applyFont="1" applyFill="1" applyAlignment="1" applyProtection="1">
      <alignment horizontal="left"/>
    </xf>
    <xf numFmtId="0" fontId="5" fillId="0" borderId="0" xfId="0" applyFont="1" applyAlignment="1">
      <alignment horizontal="right"/>
    </xf>
    <xf numFmtId="0" fontId="10" fillId="0" borderId="0" xfId="4" applyFill="1" applyAlignment="1" applyProtection="1">
      <alignment horizontal="left"/>
    </xf>
    <xf numFmtId="0" fontId="12" fillId="5" borderId="2" xfId="0" applyFont="1" applyFill="1" applyBorder="1" applyAlignment="1">
      <alignment horizontal="left" vertical="center" indent="1"/>
    </xf>
    <xf numFmtId="0" fontId="12" fillId="5" borderId="2" xfId="0" applyFont="1" applyFill="1" applyBorder="1" applyAlignment="1">
      <alignment horizontal="right" vertical="center" indent="1"/>
    </xf>
    <xf numFmtId="0" fontId="3" fillId="6" borderId="3" xfId="0" applyFont="1" applyFill="1" applyBorder="1"/>
    <xf numFmtId="0" fontId="12" fillId="6" borderId="3" xfId="0" applyFont="1" applyFill="1" applyBorder="1" applyAlignment="1">
      <alignment horizontal="left" vertical="center" indent="1"/>
    </xf>
    <xf numFmtId="0" fontId="12" fillId="6" borderId="3" xfId="0" applyFont="1" applyFill="1" applyBorder="1" applyAlignment="1">
      <alignment horizontal="right" vertical="center" indent="1"/>
    </xf>
    <xf numFmtId="0" fontId="3" fillId="3" borderId="0" xfId="0" applyFont="1" applyFill="1"/>
    <xf numFmtId="0" fontId="3" fillId="7" borderId="0" xfId="0" applyFont="1" applyFill="1"/>
    <xf numFmtId="0" fontId="3" fillId="3" borderId="0" xfId="0" applyFont="1" applyFill="1" applyAlignment="1">
      <alignment horizontal="right" vertical="center" indent="1"/>
    </xf>
    <xf numFmtId="0" fontId="3" fillId="7" borderId="5" xfId="0" applyFont="1" applyFill="1" applyBorder="1"/>
    <xf numFmtId="0" fontId="14" fillId="7" borderId="5" xfId="0" applyFont="1" applyFill="1" applyBorder="1" applyAlignment="1">
      <alignment horizontal="right" vertical="center" indent="1"/>
    </xf>
    <xf numFmtId="164" fontId="13" fillId="0" borderId="4" xfId="2" applyNumberFormat="1" applyFont="1" applyFill="1" applyBorder="1" applyAlignment="1" applyProtection="1">
      <alignment horizontal="right" vertical="center"/>
      <protection locked="0"/>
    </xf>
    <xf numFmtId="0" fontId="3" fillId="7" borderId="0" xfId="0" applyFont="1" applyFill="1" applyAlignment="1">
      <alignment horizontal="right" indent="1"/>
    </xf>
    <xf numFmtId="10" fontId="13" fillId="0" borderId="4" xfId="3" applyNumberFormat="1" applyFont="1" applyFill="1" applyBorder="1" applyAlignment="1" applyProtection="1">
      <alignment horizontal="right"/>
      <protection locked="0"/>
    </xf>
    <xf numFmtId="0" fontId="12" fillId="3" borderId="0" xfId="0" applyFont="1" applyFill="1" applyAlignment="1">
      <alignment horizontal="left" vertical="center" indent="1"/>
    </xf>
    <xf numFmtId="0" fontId="12" fillId="3" borderId="1" xfId="0" applyFont="1" applyFill="1" applyBorder="1" applyAlignment="1">
      <alignment horizontal="left" vertical="center" indent="1"/>
    </xf>
    <xf numFmtId="0" fontId="14" fillId="3" borderId="1" xfId="0" applyFont="1" applyFill="1" applyBorder="1" applyAlignment="1">
      <alignment horizontal="right" vertical="center" indent="1"/>
    </xf>
    <xf numFmtId="8" fontId="3" fillId="7" borderId="0" xfId="0" applyNumberFormat="1" applyFont="1" applyFill="1" applyAlignment="1">
      <alignment horizontal="center"/>
    </xf>
    <xf numFmtId="0" fontId="2" fillId="7" borderId="0" xfId="0" applyFont="1" applyFill="1" applyAlignment="1">
      <alignment horizontal="right" indent="1"/>
    </xf>
    <xf numFmtId="165" fontId="3" fillId="7" borderId="0" xfId="0" applyNumberFormat="1" applyFont="1" applyFill="1" applyAlignment="1">
      <alignment horizontal="right" indent="1"/>
    </xf>
    <xf numFmtId="165" fontId="13" fillId="0" borderId="4" xfId="0" applyNumberFormat="1" applyFont="1" applyBorder="1" applyAlignment="1" applyProtection="1">
      <alignment horizontal="center" vertical="center"/>
      <protection locked="0"/>
    </xf>
    <xf numFmtId="168" fontId="13" fillId="0" borderId="4" xfId="2" applyNumberFormat="1" applyFont="1" applyFill="1" applyBorder="1" applyAlignment="1" applyProtection="1">
      <alignment horizontal="center" vertical="center"/>
      <protection locked="0"/>
    </xf>
    <xf numFmtId="167" fontId="13" fillId="0" borderId="4" xfId="3" applyNumberFormat="1" applyFont="1" applyFill="1" applyBorder="1" applyAlignment="1" applyProtection="1">
      <alignment horizontal="center" vertical="center"/>
      <protection locked="0"/>
    </xf>
    <xf numFmtId="168" fontId="13" fillId="0" borderId="7" xfId="2" applyNumberFormat="1" applyFont="1" applyFill="1" applyBorder="1" applyAlignment="1" applyProtection="1">
      <alignment horizontal="right" vertical="center"/>
      <protection locked="0"/>
    </xf>
    <xf numFmtId="168" fontId="13" fillId="7" borderId="6" xfId="2" applyNumberFormat="1" applyFont="1" applyFill="1" applyBorder="1" applyAlignment="1" applyProtection="1">
      <alignment horizontal="right" vertical="center"/>
    </xf>
    <xf numFmtId="168" fontId="13" fillId="7" borderId="0" xfId="2" applyNumberFormat="1" applyFont="1" applyFill="1" applyBorder="1" applyAlignment="1" applyProtection="1">
      <alignment horizontal="right" vertical="center"/>
    </xf>
    <xf numFmtId="166" fontId="5" fillId="0" borderId="0" xfId="0" applyNumberFormat="1" applyFont="1" applyAlignment="1">
      <alignment horizontal="center"/>
    </xf>
    <xf numFmtId="166" fontId="0" fillId="0" borderId="0" xfId="0" applyNumberFormat="1"/>
    <xf numFmtId="167" fontId="5" fillId="0" borderId="0" xfId="3" applyNumberFormat="1" applyFont="1" applyAlignment="1">
      <alignment horizontal="center"/>
    </xf>
    <xf numFmtId="167" fontId="0" fillId="0" borderId="0" xfId="0" applyNumberFormat="1"/>
    <xf numFmtId="168" fontId="5" fillId="3" borderId="0" xfId="0" applyNumberFormat="1" applyFont="1" applyFill="1" applyAlignment="1">
      <alignment horizontal="center"/>
    </xf>
    <xf numFmtId="168" fontId="5" fillId="3" borderId="0" xfId="0" applyNumberFormat="1" applyFont="1" applyFill="1" applyAlignment="1">
      <alignment horizontal="right"/>
    </xf>
    <xf numFmtId="168" fontId="3" fillId="0" borderId="0" xfId="0" applyNumberFormat="1" applyFont="1"/>
    <xf numFmtId="168" fontId="5" fillId="0" borderId="0" xfId="1" applyNumberFormat="1" applyFont="1" applyAlignment="1">
      <alignment horizontal="right"/>
    </xf>
    <xf numFmtId="168" fontId="5" fillId="0" borderId="0" xfId="0" applyNumberFormat="1" applyFont="1" applyAlignment="1">
      <alignment horizontal="center"/>
    </xf>
    <xf numFmtId="168" fontId="5" fillId="4" borderId="0" xfId="0" applyNumberFormat="1" applyFont="1" applyFill="1" applyAlignment="1">
      <alignment horizontal="right"/>
    </xf>
    <xf numFmtId="168" fontId="0" fillId="0" borderId="0" xfId="0" applyNumberFormat="1"/>
    <xf numFmtId="168" fontId="5" fillId="3" borderId="0" xfId="2" applyNumberFormat="1" applyFont="1" applyFill="1" applyBorder="1" applyAlignment="1">
      <alignment horizontal="right"/>
    </xf>
  </cellXfs>
  <cellStyles count="5">
    <cellStyle name="Comma" xfId="1" builtinId="3"/>
    <cellStyle name="Currency" xfId="2" builtinId="4"/>
    <cellStyle name="Hyperlink" xfId="4" builtinId="8"/>
    <cellStyle name="Normal" xfId="0" builtinId="0"/>
    <cellStyle name="Percent" xfId="3" builtinId="5"/>
  </cellStyles>
  <dxfs count="12">
    <dxf>
      <fill>
        <patternFill>
          <bgColor indexed="22"/>
        </patternFill>
      </fill>
    </dxf>
    <dxf>
      <fill>
        <patternFill>
          <bgColor indexed="22"/>
        </patternFill>
      </fill>
    </dxf>
    <dxf>
      <font>
        <condense val="0"/>
        <extend val="0"/>
        <color indexed="22"/>
      </font>
    </dxf>
    <dxf>
      <fill>
        <patternFill>
          <bgColor indexed="22"/>
        </patternFill>
      </fill>
    </dxf>
    <dxf>
      <font>
        <condense val="0"/>
        <extend val="0"/>
        <color indexed="22"/>
      </font>
    </dxf>
    <dxf>
      <font>
        <condense val="0"/>
        <extend val="0"/>
        <color indexed="55"/>
      </font>
      <fill>
        <patternFill>
          <bgColor indexed="22"/>
        </patternFill>
      </fill>
    </dxf>
    <dxf>
      <fill>
        <patternFill>
          <bgColor indexed="22"/>
        </patternFill>
      </fill>
    </dxf>
    <dxf>
      <font>
        <condense val="0"/>
        <extend val="0"/>
        <color indexed="22"/>
      </font>
    </dxf>
    <dxf>
      <fill>
        <patternFill>
          <bgColor indexed="22"/>
        </patternFill>
      </fill>
    </dxf>
    <dxf>
      <font>
        <condense val="0"/>
        <extend val="0"/>
        <color indexed="22"/>
      </font>
    </dxf>
    <dxf>
      <fill>
        <patternFill>
          <bgColor indexed="22"/>
        </patternFill>
      </fill>
    </dxf>
    <dxf>
      <font>
        <condense val="0"/>
        <extend val="0"/>
        <color indexed="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D8AB-CA43-4C20-89F5-77AF01E22E80}">
  <dimension ref="A1:L89"/>
  <sheetViews>
    <sheetView tabSelected="1" workbookViewId="0">
      <selection activeCell="E7" sqref="E7"/>
    </sheetView>
  </sheetViews>
  <sheetFormatPr defaultRowHeight="14.5" x14ac:dyDescent="0.35"/>
  <cols>
    <col min="4" max="4" width="9.453125" bestFit="1" customWidth="1"/>
    <col min="5" max="5" width="23.54296875" bestFit="1" customWidth="1"/>
    <col min="7" max="7" width="15.1796875" customWidth="1"/>
    <col min="8" max="8" width="23.6328125" bestFit="1" customWidth="1"/>
    <col min="10" max="11" width="8.36328125" bestFit="1" customWidth="1"/>
  </cols>
  <sheetData>
    <row r="1" spans="1:8" ht="23" x14ac:dyDescent="0.35">
      <c r="A1" s="8"/>
      <c r="B1" s="9"/>
      <c r="C1" s="10"/>
      <c r="D1" s="10"/>
      <c r="E1" s="8" t="s">
        <v>8</v>
      </c>
      <c r="F1" s="10"/>
      <c r="G1" s="11"/>
      <c r="H1" s="8"/>
    </row>
    <row r="2" spans="1:8" x14ac:dyDescent="0.35">
      <c r="A2" s="12"/>
      <c r="B2" s="4"/>
      <c r="C2" s="4"/>
      <c r="D2" s="4"/>
      <c r="E2" s="4"/>
      <c r="F2" s="4"/>
      <c r="G2" s="4"/>
      <c r="H2" s="13"/>
    </row>
    <row r="3" spans="1:8" x14ac:dyDescent="0.35">
      <c r="A3" s="14"/>
      <c r="B3" s="4"/>
      <c r="C3" s="4"/>
      <c r="D3" s="4"/>
      <c r="E3" s="4"/>
      <c r="F3" s="4"/>
      <c r="G3" s="4"/>
      <c r="H3" s="4"/>
    </row>
    <row r="4" spans="1:8" ht="16" thickBot="1" x14ac:dyDescent="0.4">
      <c r="A4" s="15"/>
      <c r="B4" s="15"/>
      <c r="C4" s="15"/>
      <c r="D4" s="15"/>
      <c r="E4" s="16" t="s">
        <v>10</v>
      </c>
      <c r="F4" s="17"/>
      <c r="G4" s="18"/>
      <c r="H4" s="19" t="s">
        <v>9</v>
      </c>
    </row>
    <row r="5" spans="1:8" x14ac:dyDescent="0.35">
      <c r="A5" s="20"/>
      <c r="B5" s="20"/>
      <c r="C5" s="20"/>
      <c r="D5" s="20"/>
      <c r="E5" s="20"/>
      <c r="F5" s="21"/>
      <c r="G5" s="21"/>
      <c r="H5" s="21"/>
    </row>
    <row r="6" spans="1:8" ht="15" thickBot="1" x14ac:dyDescent="0.4">
      <c r="A6" s="20"/>
      <c r="B6" s="22"/>
      <c r="C6" s="22"/>
      <c r="D6" s="22" t="s">
        <v>0</v>
      </c>
      <c r="E6" s="34">
        <v>30</v>
      </c>
      <c r="F6" s="21"/>
      <c r="G6" s="23"/>
      <c r="H6" s="24" t="s">
        <v>11</v>
      </c>
    </row>
    <row r="7" spans="1:8" x14ac:dyDescent="0.35">
      <c r="A7" s="20"/>
      <c r="B7" s="20"/>
      <c r="C7" s="20"/>
      <c r="D7" s="22" t="s">
        <v>1</v>
      </c>
      <c r="E7" s="35">
        <v>10000</v>
      </c>
      <c r="F7" s="21"/>
      <c r="G7" s="33" t="str">
        <f>"القيمة بعد "&amp;E6&amp;" سنوات"</f>
        <v>القيمة بعد 30 سنوات</v>
      </c>
      <c r="H7" s="38">
        <f ca="1">OFFSET(H17,E6+1,0,1,1)</f>
        <v>171944.86102248429</v>
      </c>
    </row>
    <row r="8" spans="1:8" x14ac:dyDescent="0.35">
      <c r="A8" s="20"/>
      <c r="B8" s="22"/>
      <c r="C8" s="22"/>
      <c r="D8" s="22" t="s">
        <v>2</v>
      </c>
      <c r="E8" s="36">
        <v>0.04</v>
      </c>
      <c r="F8" s="21"/>
      <c r="G8" s="21"/>
      <c r="H8" s="21"/>
    </row>
    <row r="9" spans="1:8" ht="16" thickBot="1" x14ac:dyDescent="0.4">
      <c r="A9" s="28"/>
      <c r="B9" s="22"/>
      <c r="C9" s="22"/>
      <c r="D9" s="22"/>
      <c r="E9" s="22"/>
      <c r="F9" s="21"/>
      <c r="G9" s="23"/>
      <c r="H9" s="24" t="s">
        <v>12</v>
      </c>
    </row>
    <row r="10" spans="1:8" ht="16" thickBot="1" x14ac:dyDescent="0.4">
      <c r="A10" s="20"/>
      <c r="B10" s="29"/>
      <c r="C10" s="29"/>
      <c r="D10" s="29"/>
      <c r="E10" s="30" t="s">
        <v>3</v>
      </c>
      <c r="F10" s="21"/>
      <c r="G10" s="26" t="s">
        <v>13</v>
      </c>
      <c r="H10" s="38">
        <f ca="1">IF(E6=""," - ",SUM(OFFSET(F17,1,0,E6+1,1)))</f>
        <v>82000</v>
      </c>
    </row>
    <row r="11" spans="1:8" x14ac:dyDescent="0.35">
      <c r="A11" s="20"/>
      <c r="B11" s="22"/>
      <c r="C11" s="22"/>
      <c r="D11" s="22" t="s">
        <v>4</v>
      </c>
      <c r="E11" s="37">
        <v>200</v>
      </c>
      <c r="F11" s="31"/>
      <c r="G11" s="32" t="s">
        <v>14</v>
      </c>
      <c r="H11" s="39">
        <f ca="1">IF(E6=""," - ",SUM(OFFSET(D17,2,0,$E$6,1)))</f>
        <v>89944.861022484285</v>
      </c>
    </row>
    <row r="12" spans="1:8" x14ac:dyDescent="0.35">
      <c r="A12" s="20"/>
      <c r="B12" s="22"/>
      <c r="C12" s="22"/>
      <c r="D12" s="22" t="s">
        <v>5</v>
      </c>
      <c r="E12" s="27" t="s">
        <v>6</v>
      </c>
      <c r="F12" s="31"/>
      <c r="G12" s="31"/>
      <c r="H12" s="26"/>
    </row>
    <row r="13" spans="1:8" x14ac:dyDescent="0.35">
      <c r="A13" s="20"/>
      <c r="B13" s="22"/>
      <c r="C13" s="22"/>
      <c r="D13" s="22" t="s">
        <v>7</v>
      </c>
      <c r="E13" s="25"/>
      <c r="F13" s="31"/>
      <c r="G13" s="31"/>
      <c r="H13" s="26"/>
    </row>
    <row r="14" spans="1:8" x14ac:dyDescent="0.35">
      <c r="A14" s="20"/>
      <c r="B14" s="20"/>
      <c r="C14" s="20"/>
      <c r="D14" s="20"/>
      <c r="E14" s="20"/>
      <c r="F14" s="31"/>
      <c r="G14" s="31"/>
      <c r="H14" s="26"/>
    </row>
    <row r="15" spans="1:8" x14ac:dyDescent="0.35">
      <c r="A15" s="20"/>
      <c r="B15" s="20"/>
      <c r="C15" s="20"/>
      <c r="D15" s="20"/>
      <c r="E15" s="20"/>
      <c r="F15" s="31"/>
      <c r="G15" s="31"/>
      <c r="H15" s="26"/>
    </row>
    <row r="17" spans="1:12" s="4" customFormat="1" ht="27" thickBot="1" x14ac:dyDescent="0.4">
      <c r="A17" s="1" t="s">
        <v>15</v>
      </c>
      <c r="B17" s="1"/>
      <c r="C17" s="1" t="s">
        <v>16</v>
      </c>
      <c r="D17" s="2" t="s">
        <v>17</v>
      </c>
      <c r="E17" s="2"/>
      <c r="F17" s="1" t="s">
        <v>18</v>
      </c>
      <c r="G17" s="1" t="s">
        <v>19</v>
      </c>
      <c r="H17" s="3" t="s">
        <v>20</v>
      </c>
      <c r="J17" s="1" t="s">
        <v>21</v>
      </c>
      <c r="K17" s="1" t="s">
        <v>22</v>
      </c>
    </row>
    <row r="18" spans="1:12" s="4" customFormat="1" ht="15" customHeight="1" x14ac:dyDescent="0.25">
      <c r="A18" s="5"/>
      <c r="B18" s="5"/>
      <c r="C18" s="5"/>
      <c r="D18" s="44"/>
      <c r="E18" s="44"/>
      <c r="F18" s="45">
        <f>E7</f>
        <v>10000</v>
      </c>
      <c r="G18" s="44"/>
      <c r="H18" s="51">
        <f>$E$7</f>
        <v>10000</v>
      </c>
      <c r="I18" s="46"/>
      <c r="J18" s="44"/>
      <c r="K18" s="44"/>
    </row>
    <row r="19" spans="1:12" s="4" customFormat="1" ht="12.5" x14ac:dyDescent="0.25">
      <c r="A19" s="40">
        <v>1</v>
      </c>
      <c r="B19" s="6"/>
      <c r="C19" s="42">
        <f>IF(A19="","",$E$8)</f>
        <v>0.04</v>
      </c>
      <c r="D19" s="47">
        <f t="shared" ref="D19:D59" si="0">IF(A19="","",FV(((1+C19/compound_period)^(compound_period/deposits_per_year))-1,deposits_per_year,-$E$11,-H18)-$E$11*deposits_per_year-H18)</f>
        <v>451.90800438530096</v>
      </c>
      <c r="E19" s="48"/>
      <c r="F19" s="47">
        <f t="shared" ref="F19:F59" si="1">IF(A19="","",$E$13+$E$11*deposits_per_year)</f>
        <v>2400</v>
      </c>
      <c r="G19" s="49"/>
      <c r="H19" s="47">
        <f>IF(A19="","",H18+F19+G19+D19)</f>
        <v>12851.908004385301</v>
      </c>
      <c r="I19" s="46"/>
      <c r="J19" s="47">
        <f>IF(A19="","",SUM(F$18:F19)+SUM(G$18:G19))</f>
        <v>12400</v>
      </c>
      <c r="K19" s="47">
        <f>IF(A19="","",SUM(D$18:D19))</f>
        <v>451.90800438530096</v>
      </c>
      <c r="L19" s="7"/>
    </row>
    <row r="20" spans="1:12" s="4" customFormat="1" ht="12.5" x14ac:dyDescent="0.25">
      <c r="A20" s="40">
        <f>IF(A19&lt;$E$6,A19+1,"")</f>
        <v>2</v>
      </c>
      <c r="B20" s="6"/>
      <c r="C20" s="42">
        <f t="shared" ref="C20:C59" si="2">IF(A20="","",$E$8)</f>
        <v>0.04</v>
      </c>
      <c r="D20" s="47">
        <f t="shared" si="0"/>
        <v>568.09913674925883</v>
      </c>
      <c r="E20" s="48"/>
      <c r="F20" s="47">
        <f t="shared" si="1"/>
        <v>2400</v>
      </c>
      <c r="G20" s="49"/>
      <c r="H20" s="47">
        <f t="shared" ref="H20:H59" si="3">IF(A20="","",H19+F20+G20+D20)</f>
        <v>15820.00714113456</v>
      </c>
      <c r="I20" s="46"/>
      <c r="J20" s="47">
        <f>IF(A20="","",SUM(F$18:F20)+SUM(G$18:G20))</f>
        <v>14800</v>
      </c>
      <c r="K20" s="47">
        <f>IF(A20="","",SUM(D$18:D20))</f>
        <v>1020.0071411345598</v>
      </c>
      <c r="L20" s="7"/>
    </row>
    <row r="21" spans="1:12" x14ac:dyDescent="0.35">
      <c r="A21" s="40">
        <f t="shared" ref="A21:A59" si="4">IF(A20&lt;$E$6,A20+1,"")</f>
        <v>3</v>
      </c>
      <c r="C21" s="42">
        <f t="shared" si="2"/>
        <v>0.04</v>
      </c>
      <c r="D21" s="47">
        <f t="shared" si="0"/>
        <v>689.02407511932324</v>
      </c>
      <c r="E21" s="48"/>
      <c r="F21" s="47">
        <f t="shared" si="1"/>
        <v>2400</v>
      </c>
      <c r="G21" s="49"/>
      <c r="H21" s="47">
        <f t="shared" si="3"/>
        <v>18909.031216253883</v>
      </c>
      <c r="I21" s="46"/>
      <c r="J21" s="47">
        <f>IF(A21="","",SUM(F$18:F21)+SUM(G$18:G21))</f>
        <v>17200</v>
      </c>
      <c r="K21" s="47">
        <f>IF(A21="","",SUM(D$18:D21))</f>
        <v>1709.031216253883</v>
      </c>
    </row>
    <row r="22" spans="1:12" x14ac:dyDescent="0.35">
      <c r="A22" s="40">
        <f t="shared" si="4"/>
        <v>4</v>
      </c>
      <c r="C22" s="42">
        <f t="shared" si="2"/>
        <v>0.04</v>
      </c>
      <c r="D22" s="47">
        <f t="shared" si="0"/>
        <v>814.87568205606294</v>
      </c>
      <c r="E22" s="48"/>
      <c r="F22" s="47">
        <f t="shared" si="1"/>
        <v>2400</v>
      </c>
      <c r="G22" s="49"/>
      <c r="H22" s="47">
        <f t="shared" si="3"/>
        <v>22123.906898309946</v>
      </c>
      <c r="I22" s="46"/>
      <c r="J22" s="47">
        <f>IF(A22="","",SUM(F$18:F22)+SUM(G$18:G22))</f>
        <v>19600</v>
      </c>
      <c r="K22" s="47">
        <f>IF(A22="","",SUM(D$18:D22))</f>
        <v>2523.906898309946</v>
      </c>
    </row>
    <row r="23" spans="1:12" x14ac:dyDescent="0.35">
      <c r="A23" s="40">
        <f t="shared" si="4"/>
        <v>5</v>
      </c>
      <c r="C23" s="42">
        <f t="shared" si="2"/>
        <v>0.04</v>
      </c>
      <c r="D23" s="47">
        <f t="shared" si="0"/>
        <v>945.85467763834458</v>
      </c>
      <c r="E23" s="48"/>
      <c r="F23" s="47">
        <f t="shared" si="1"/>
        <v>2400</v>
      </c>
      <c r="G23" s="49"/>
      <c r="H23" s="47">
        <f t="shared" si="3"/>
        <v>25469.761575948291</v>
      </c>
      <c r="I23" s="46"/>
      <c r="J23" s="47">
        <f>IF(A23="","",SUM(F$18:F23)+SUM(G$18:G23))</f>
        <v>22000</v>
      </c>
      <c r="K23" s="47">
        <f>IF(A23="","",SUM(D$18:D23))</f>
        <v>3469.7615759482906</v>
      </c>
    </row>
    <row r="24" spans="1:12" x14ac:dyDescent="0.35">
      <c r="A24" s="40">
        <f t="shared" si="4"/>
        <v>6</v>
      </c>
      <c r="C24" s="42">
        <f t="shared" si="2"/>
        <v>0.04</v>
      </c>
      <c r="D24" s="47">
        <f t="shared" si="0"/>
        <v>1082.1699595907303</v>
      </c>
      <c r="E24" s="48"/>
      <c r="F24" s="47">
        <f t="shared" si="1"/>
        <v>2400</v>
      </c>
      <c r="G24" s="49"/>
      <c r="H24" s="47">
        <f t="shared" si="3"/>
        <v>28951.931535539021</v>
      </c>
      <c r="I24" s="46"/>
      <c r="J24" s="47">
        <f>IF(A24="","",SUM(F$18:F24)+SUM(G$18:G24))</f>
        <v>24400</v>
      </c>
      <c r="K24" s="47">
        <f>IF(A24="","",SUM(D$18:D24))</f>
        <v>4551.9315355390208</v>
      </c>
    </row>
    <row r="25" spans="1:12" x14ac:dyDescent="0.35">
      <c r="A25" s="40">
        <f t="shared" si="4"/>
        <v>7</v>
      </c>
      <c r="C25" s="42">
        <f t="shared" si="2"/>
        <v>0.04</v>
      </c>
      <c r="D25" s="47">
        <f t="shared" si="0"/>
        <v>1224.0389364534021</v>
      </c>
      <c r="E25" s="48"/>
      <c r="F25" s="47">
        <f t="shared" si="1"/>
        <v>2400</v>
      </c>
      <c r="G25" s="49"/>
      <c r="H25" s="47">
        <f t="shared" si="3"/>
        <v>32575.970471992423</v>
      </c>
      <c r="I25" s="46"/>
      <c r="J25" s="47">
        <f>IF(A25="","",SUM(F$18:F25)+SUM(G$18:G25))</f>
        <v>26800</v>
      </c>
      <c r="K25" s="47">
        <f>IF(A25="","",SUM(D$18:D25))</f>
        <v>5775.970471992423</v>
      </c>
    </row>
    <row r="26" spans="1:12" x14ac:dyDescent="0.35">
      <c r="A26" s="40">
        <f t="shared" si="4"/>
        <v>8</v>
      </c>
      <c r="C26" s="42">
        <f t="shared" si="2"/>
        <v>0.04</v>
      </c>
      <c r="D26" s="47">
        <f t="shared" si="0"/>
        <v>1371.6878743259113</v>
      </c>
      <c r="E26" s="48"/>
      <c r="F26" s="47">
        <f t="shared" si="1"/>
        <v>2400</v>
      </c>
      <c r="G26" s="49"/>
      <c r="H26" s="47">
        <f t="shared" si="3"/>
        <v>36347.658346318334</v>
      </c>
      <c r="I26" s="46"/>
      <c r="J26" s="47">
        <f>IF(A26="","",SUM(F$18:F26)+SUM(G$18:G26))</f>
        <v>29200</v>
      </c>
      <c r="K26" s="47">
        <f>IF(A26="","",SUM(D$18:D26))</f>
        <v>7147.6583463183342</v>
      </c>
    </row>
    <row r="27" spans="1:12" x14ac:dyDescent="0.35">
      <c r="A27" s="40">
        <f t="shared" si="4"/>
        <v>9</v>
      </c>
      <c r="C27" s="42">
        <f t="shared" si="2"/>
        <v>0.04</v>
      </c>
      <c r="D27" s="47">
        <f t="shared" si="0"/>
        <v>1525.3522577378171</v>
      </c>
      <c r="E27" s="48"/>
      <c r="F27" s="47">
        <f t="shared" si="1"/>
        <v>2400</v>
      </c>
      <c r="G27" s="49"/>
      <c r="H27" s="47">
        <f t="shared" si="3"/>
        <v>40273.010604056151</v>
      </c>
      <c r="I27" s="46"/>
      <c r="J27" s="47">
        <f>IF(A27="","",SUM(F$18:F27)+SUM(G$18:G27))</f>
        <v>31600</v>
      </c>
      <c r="K27" s="47">
        <f>IF(A27="","",SUM(D$18:D27))</f>
        <v>8673.0106040561514</v>
      </c>
    </row>
    <row r="28" spans="1:12" x14ac:dyDescent="0.35">
      <c r="A28" s="40">
        <f t="shared" si="4"/>
        <v>10</v>
      </c>
      <c r="C28" s="42">
        <f t="shared" si="2"/>
        <v>0.04</v>
      </c>
      <c r="D28" s="47">
        <f t="shared" si="0"/>
        <v>1685.2771652217416</v>
      </c>
      <c r="E28" s="48"/>
      <c r="F28" s="47">
        <f t="shared" si="1"/>
        <v>2400</v>
      </c>
      <c r="G28" s="49"/>
      <c r="H28" s="47">
        <f t="shared" si="3"/>
        <v>44358.287769277893</v>
      </c>
      <c r="I28" s="46"/>
      <c r="J28" s="47">
        <f>IF(A28="","",SUM(F$18:F28)+SUM(G$18:G28))</f>
        <v>34000</v>
      </c>
      <c r="K28" s="47">
        <f>IF(A28="","",SUM(D$18:D28))</f>
        <v>10358.287769277893</v>
      </c>
    </row>
    <row r="29" spans="1:12" x14ac:dyDescent="0.35">
      <c r="A29" s="40">
        <f t="shared" si="4"/>
        <v>11</v>
      </c>
      <c r="C29" s="42">
        <f t="shared" si="2"/>
        <v>0.04</v>
      </c>
      <c r="D29" s="47">
        <f t="shared" si="0"/>
        <v>1851.71766018786</v>
      </c>
      <c r="E29" s="48"/>
      <c r="F29" s="47">
        <f t="shared" si="1"/>
        <v>2400</v>
      </c>
      <c r="G29" s="49"/>
      <c r="H29" s="47">
        <f t="shared" si="3"/>
        <v>48610.005429465753</v>
      </c>
      <c r="I29" s="46"/>
      <c r="J29" s="47">
        <f>IF(A29="","",SUM(F$18:F29)+SUM(G$18:G29))</f>
        <v>36400</v>
      </c>
      <c r="K29" s="47">
        <f>IF(A29="","",SUM(D$18:D29))</f>
        <v>12210.005429465753</v>
      </c>
    </row>
    <row r="30" spans="1:12" x14ac:dyDescent="0.35">
      <c r="A30" s="40">
        <f t="shared" si="4"/>
        <v>12</v>
      </c>
      <c r="C30" s="42">
        <f t="shared" si="2"/>
        <v>0.04</v>
      </c>
      <c r="D30" s="47">
        <f t="shared" si="0"/>
        <v>2024.9391977232372</v>
      </c>
      <c r="E30" s="48"/>
      <c r="F30" s="47">
        <f t="shared" si="1"/>
        <v>2400</v>
      </c>
      <c r="G30" s="49"/>
      <c r="H30" s="47">
        <f t="shared" si="3"/>
        <v>53034.94462718899</v>
      </c>
      <c r="I30" s="46"/>
      <c r="J30" s="47">
        <f>IF(A30="","",SUM(F$18:F30)+SUM(G$18:G30))</f>
        <v>38800</v>
      </c>
      <c r="K30" s="47">
        <f>IF(A30="","",SUM(D$18:D30))</f>
        <v>14234.94462718899</v>
      </c>
    </row>
    <row r="31" spans="1:12" x14ac:dyDescent="0.35">
      <c r="A31" s="40">
        <f t="shared" si="4"/>
        <v>13</v>
      </c>
      <c r="C31" s="42">
        <f t="shared" si="2"/>
        <v>0.04</v>
      </c>
      <c r="D31" s="47">
        <f t="shared" si="0"/>
        <v>2205.2180479647432</v>
      </c>
      <c r="E31" s="48"/>
      <c r="F31" s="47">
        <f t="shared" si="1"/>
        <v>2400</v>
      </c>
      <c r="G31" s="49"/>
      <c r="H31" s="47">
        <f t="shared" si="3"/>
        <v>57640.162675153733</v>
      </c>
      <c r="I31" s="46"/>
      <c r="J31" s="47">
        <f>IF(A31="","",SUM(F$18:F31)+SUM(G$18:G31))</f>
        <v>41200</v>
      </c>
      <c r="K31" s="47">
        <f>IF(A31="","",SUM(D$18:D31))</f>
        <v>16440.162675153733</v>
      </c>
    </row>
    <row r="32" spans="1:12" x14ac:dyDescent="0.35">
      <c r="A32" s="40">
        <f t="shared" si="4"/>
        <v>14</v>
      </c>
      <c r="C32" s="42">
        <f t="shared" si="2"/>
        <v>0.04</v>
      </c>
      <c r="D32" s="47">
        <f t="shared" si="0"/>
        <v>2392.8417367208967</v>
      </c>
      <c r="E32" s="48"/>
      <c r="F32" s="47">
        <f t="shared" si="1"/>
        <v>2400</v>
      </c>
      <c r="G32" s="49"/>
      <c r="H32" s="47">
        <f t="shared" si="3"/>
        <v>62433.00441187463</v>
      </c>
      <c r="I32" s="46"/>
      <c r="J32" s="47">
        <f>IF(A32="","",SUM(F$18:F32)+SUM(G$18:G32))</f>
        <v>43600</v>
      </c>
      <c r="K32" s="47">
        <f>IF(A32="","",SUM(D$18:D32))</f>
        <v>18833.00441187463</v>
      </c>
    </row>
    <row r="33" spans="1:11" x14ac:dyDescent="0.35">
      <c r="A33" s="40">
        <f t="shared" si="4"/>
        <v>15</v>
      </c>
      <c r="C33" s="42">
        <f t="shared" si="2"/>
        <v>0.04</v>
      </c>
      <c r="D33" s="47">
        <f t="shared" si="0"/>
        <v>2588.1095040452783</v>
      </c>
      <c r="E33" s="48"/>
      <c r="F33" s="47">
        <f t="shared" si="1"/>
        <v>2400</v>
      </c>
      <c r="G33" s="49"/>
      <c r="H33" s="47">
        <f t="shared" si="3"/>
        <v>67421.113915919908</v>
      </c>
      <c r="I33" s="46"/>
      <c r="J33" s="47">
        <f>IF(A33="","",SUM(F$18:F33)+SUM(G$18:G33))</f>
        <v>46000</v>
      </c>
      <c r="K33" s="47">
        <f>IF(A33="","",SUM(D$18:D33))</f>
        <v>21421.113915919908</v>
      </c>
    </row>
    <row r="34" spans="1:11" x14ac:dyDescent="0.35">
      <c r="A34" s="40">
        <f t="shared" si="4"/>
        <v>16</v>
      </c>
      <c r="C34" s="42">
        <f t="shared" si="2"/>
        <v>0.04</v>
      </c>
      <c r="D34" s="47">
        <f t="shared" si="0"/>
        <v>2791.3327814929507</v>
      </c>
      <c r="E34" s="48"/>
      <c r="F34" s="47">
        <f t="shared" si="1"/>
        <v>2400</v>
      </c>
      <c r="G34" s="49"/>
      <c r="H34" s="47">
        <f t="shared" si="3"/>
        <v>72612.446697412859</v>
      </c>
      <c r="I34" s="46"/>
      <c r="J34" s="47">
        <f>IF(A34="","",SUM(F$18:F34)+SUM(G$18:G34))</f>
        <v>48400</v>
      </c>
      <c r="K34" s="47">
        <f>IF(A34="","",SUM(D$18:D34))</f>
        <v>24212.446697412859</v>
      </c>
    </row>
    <row r="35" spans="1:11" x14ac:dyDescent="0.35">
      <c r="A35" s="40">
        <f t="shared" si="4"/>
        <v>17</v>
      </c>
      <c r="C35" s="42">
        <f t="shared" si="2"/>
        <v>0.04</v>
      </c>
      <c r="D35" s="47">
        <f t="shared" si="0"/>
        <v>3002.8356888210692</v>
      </c>
      <c r="E35" s="48"/>
      <c r="F35" s="47">
        <f t="shared" si="1"/>
        <v>2400</v>
      </c>
      <c r="G35" s="49"/>
      <c r="H35" s="47">
        <f t="shared" si="3"/>
        <v>78015.282386233928</v>
      </c>
      <c r="I35" s="46"/>
      <c r="J35" s="47">
        <f>IF(A35="","",SUM(F$18:F35)+SUM(G$18:G35))</f>
        <v>50800</v>
      </c>
      <c r="K35" s="47">
        <f>IF(A35="","",SUM(D$18:D35))</f>
        <v>27215.282386233928</v>
      </c>
    </row>
    <row r="36" spans="1:11" x14ac:dyDescent="0.35">
      <c r="A36" s="40">
        <f t="shared" si="4"/>
        <v>18</v>
      </c>
      <c r="C36" s="42">
        <f t="shared" si="2"/>
        <v>0.04</v>
      </c>
      <c r="D36" s="47">
        <f t="shared" si="0"/>
        <v>3222.955550925748</v>
      </c>
      <c r="E36" s="48"/>
      <c r="F36" s="47">
        <f t="shared" si="1"/>
        <v>2400</v>
      </c>
      <c r="G36" s="49"/>
      <c r="H36" s="47">
        <f t="shared" si="3"/>
        <v>83638.237937159676</v>
      </c>
      <c r="I36" s="46"/>
      <c r="J36" s="47">
        <f>IF(A36="","",SUM(F$18:F36)+SUM(G$18:G36))</f>
        <v>53200</v>
      </c>
      <c r="K36" s="47">
        <f>IF(A36="","",SUM(D$18:D36))</f>
        <v>30438.237937159676</v>
      </c>
    </row>
    <row r="37" spans="1:11" x14ac:dyDescent="0.35">
      <c r="A37" s="40">
        <f t="shared" si="4"/>
        <v>19</v>
      </c>
      <c r="C37" s="42">
        <f t="shared" si="2"/>
        <v>0.04</v>
      </c>
      <c r="D37" s="47">
        <f t="shared" si="0"/>
        <v>3452.0434358398634</v>
      </c>
      <c r="E37" s="48"/>
      <c r="F37" s="47">
        <f t="shared" si="1"/>
        <v>2400</v>
      </c>
      <c r="G37" s="49"/>
      <c r="H37" s="47">
        <f t="shared" si="3"/>
        <v>89490.28137299954</v>
      </c>
      <c r="I37" s="46"/>
      <c r="J37" s="47">
        <f>IF(A37="","",SUM(F$18:F37)+SUM(G$18:G37))</f>
        <v>55600</v>
      </c>
      <c r="K37" s="47">
        <f>IF(A37="","",SUM(D$18:D37))</f>
        <v>33890.28137299954</v>
      </c>
    </row>
    <row r="38" spans="1:11" x14ac:dyDescent="0.35">
      <c r="A38" s="40">
        <f t="shared" si="4"/>
        <v>20</v>
      </c>
      <c r="C38" s="42">
        <f t="shared" si="2"/>
        <v>0.04</v>
      </c>
      <c r="D38" s="47">
        <f t="shared" si="0"/>
        <v>3690.4647146496136</v>
      </c>
      <c r="E38" s="48"/>
      <c r="F38" s="47">
        <f t="shared" si="1"/>
        <v>2400</v>
      </c>
      <c r="G38" s="49"/>
      <c r="H38" s="47">
        <f t="shared" si="3"/>
        <v>95580.746087649153</v>
      </c>
      <c r="I38" s="46"/>
      <c r="J38" s="47">
        <f>IF(A38="","",SUM(F$18:F38)+SUM(G$18:G38))</f>
        <v>58000</v>
      </c>
      <c r="K38" s="47">
        <f>IF(A38="","",SUM(D$18:D38))</f>
        <v>37580.746087649153</v>
      </c>
    </row>
    <row r="39" spans="1:11" x14ac:dyDescent="0.35">
      <c r="A39" s="40">
        <f t="shared" si="4"/>
        <v>21</v>
      </c>
      <c r="C39" s="42">
        <f t="shared" si="2"/>
        <v>0.04</v>
      </c>
      <c r="D39" s="47">
        <f t="shared" si="0"/>
        <v>3938.5996442229807</v>
      </c>
      <c r="E39" s="48"/>
      <c r="F39" s="47">
        <f t="shared" si="1"/>
        <v>2400</v>
      </c>
      <c r="G39" s="49"/>
      <c r="H39" s="47">
        <f t="shared" si="3"/>
        <v>101919.34573187213</v>
      </c>
      <c r="I39" s="46"/>
      <c r="J39" s="47">
        <f>IF(A39="","",SUM(F$18:F39)+SUM(G$18:G39))</f>
        <v>60400</v>
      </c>
      <c r="K39" s="47">
        <f>IF(A39="","",SUM(D$18:D39))</f>
        <v>41519.345731872134</v>
      </c>
    </row>
    <row r="40" spans="1:11" x14ac:dyDescent="0.35">
      <c r="A40" s="40">
        <f t="shared" si="4"/>
        <v>22</v>
      </c>
      <c r="C40" s="42">
        <f t="shared" si="2"/>
        <v>0.04</v>
      </c>
      <c r="D40" s="47">
        <f t="shared" si="0"/>
        <v>4196.843973679468</v>
      </c>
      <c r="E40" s="48"/>
      <c r="F40" s="47">
        <f t="shared" si="1"/>
        <v>2400</v>
      </c>
      <c r="G40" s="49"/>
      <c r="H40" s="47">
        <f t="shared" si="3"/>
        <v>108516.1897055516</v>
      </c>
      <c r="I40" s="46"/>
      <c r="J40" s="47">
        <f>IF(A40="","",SUM(F$18:F40)+SUM(G$18:G40))</f>
        <v>62800</v>
      </c>
      <c r="K40" s="47">
        <f>IF(A40="","",SUM(D$18:D40))</f>
        <v>45716.189705551602</v>
      </c>
    </row>
    <row r="41" spans="1:11" x14ac:dyDescent="0.35">
      <c r="A41" s="40">
        <f t="shared" si="4"/>
        <v>23</v>
      </c>
      <c r="C41" s="42">
        <f t="shared" si="2"/>
        <v>0.04</v>
      </c>
      <c r="D41" s="47">
        <f t="shared" si="0"/>
        <v>4465.6095755682909</v>
      </c>
      <c r="E41" s="48"/>
      <c r="F41" s="47">
        <f t="shared" si="1"/>
        <v>2400</v>
      </c>
      <c r="G41" s="49"/>
      <c r="H41" s="47">
        <f t="shared" si="3"/>
        <v>115381.79928111989</v>
      </c>
      <c r="I41" s="46"/>
      <c r="J41" s="47">
        <f>IF(A41="","",SUM(F$18:F41)+SUM(G$18:G41))</f>
        <v>65200</v>
      </c>
      <c r="K41" s="47">
        <f>IF(A41="","",SUM(D$18:D41))</f>
        <v>50181.799281119893</v>
      </c>
    </row>
    <row r="42" spans="1:11" x14ac:dyDescent="0.35">
      <c r="A42" s="40">
        <f t="shared" si="4"/>
        <v>24</v>
      </c>
      <c r="C42" s="42">
        <f t="shared" si="2"/>
        <v>0.04</v>
      </c>
      <c r="D42" s="47">
        <f t="shared" si="0"/>
        <v>4745.3251027618389</v>
      </c>
      <c r="E42" s="48"/>
      <c r="F42" s="47">
        <f t="shared" si="1"/>
        <v>2400</v>
      </c>
      <c r="G42" s="49"/>
      <c r="H42" s="47">
        <f t="shared" si="3"/>
        <v>122527.12438388173</v>
      </c>
      <c r="I42" s="46"/>
      <c r="J42" s="47">
        <f>IF(A42="","",SUM(F$18:F42)+SUM(G$18:G42))</f>
        <v>67600</v>
      </c>
      <c r="K42" s="47">
        <f>IF(A42="","",SUM(D$18:D42))</f>
        <v>54927.124383881732</v>
      </c>
    </row>
    <row r="43" spans="1:11" x14ac:dyDescent="0.35">
      <c r="A43" s="40">
        <f t="shared" si="4"/>
        <v>25</v>
      </c>
      <c r="C43" s="42">
        <f t="shared" si="2"/>
        <v>0.04</v>
      </c>
      <c r="D43" s="47">
        <f t="shared" si="0"/>
        <v>5036.4366721118568</v>
      </c>
      <c r="E43" s="48"/>
      <c r="F43" s="47">
        <f t="shared" si="1"/>
        <v>2400</v>
      </c>
      <c r="G43" s="49"/>
      <c r="H43" s="47">
        <f t="shared" si="3"/>
        <v>129963.56105599359</v>
      </c>
      <c r="I43" s="46"/>
      <c r="J43" s="47">
        <f>IF(A43="","",SUM(F$18:F43)+SUM(G$18:G43))</f>
        <v>70000</v>
      </c>
      <c r="K43" s="47">
        <f>IF(A43="","",SUM(D$18:D43))</f>
        <v>59963.561055993589</v>
      </c>
    </row>
    <row r="44" spans="1:11" x14ac:dyDescent="0.35">
      <c r="A44" s="40">
        <f t="shared" si="4"/>
        <v>26</v>
      </c>
      <c r="C44" s="42">
        <f t="shared" si="2"/>
        <v>0.04</v>
      </c>
      <c r="D44" s="47">
        <f t="shared" si="0"/>
        <v>5339.4085759589943</v>
      </c>
      <c r="E44" s="48"/>
      <c r="F44" s="47">
        <f t="shared" si="1"/>
        <v>2400</v>
      </c>
      <c r="G44" s="49"/>
      <c r="H44" s="47">
        <f t="shared" si="3"/>
        <v>137702.96963195258</v>
      </c>
      <c r="I44" s="46"/>
      <c r="J44" s="47">
        <f>IF(A44="","",SUM(F$18:F44)+SUM(G$18:G44))</f>
        <v>72400</v>
      </c>
      <c r="K44" s="47">
        <f>IF(A44="","",SUM(D$18:D44))</f>
        <v>65302.969631952583</v>
      </c>
    </row>
    <row r="45" spans="1:11" x14ac:dyDescent="0.35">
      <c r="A45" s="40">
        <f t="shared" si="4"/>
        <v>27</v>
      </c>
      <c r="C45" s="42">
        <f t="shared" si="2"/>
        <v>0.04</v>
      </c>
      <c r="D45" s="47">
        <f t="shared" si="0"/>
        <v>5654.7240226302238</v>
      </c>
      <c r="E45" s="48"/>
      <c r="F45" s="47">
        <f t="shared" si="1"/>
        <v>2400</v>
      </c>
      <c r="G45" s="49"/>
      <c r="H45" s="47">
        <f t="shared" si="3"/>
        <v>145757.69365458281</v>
      </c>
      <c r="I45" s="46"/>
      <c r="J45" s="47">
        <f>IF(A45="","",SUM(F$18:F45)+SUM(G$18:G45))</f>
        <v>74800</v>
      </c>
      <c r="K45" s="47">
        <f>IF(A45="","",SUM(D$18:D45))</f>
        <v>70957.693654582807</v>
      </c>
    </row>
    <row r="46" spans="1:11" x14ac:dyDescent="0.35">
      <c r="A46" s="40">
        <f t="shared" si="4"/>
        <v>28</v>
      </c>
      <c r="C46" s="42">
        <f t="shared" si="2"/>
        <v>0.04</v>
      </c>
      <c r="D46" s="47">
        <f t="shared" si="0"/>
        <v>5982.8859071052866</v>
      </c>
      <c r="E46" s="48"/>
      <c r="F46" s="47">
        <f t="shared" si="1"/>
        <v>2400</v>
      </c>
      <c r="G46" s="49"/>
      <c r="H46" s="47">
        <f t="shared" si="3"/>
        <v>154140.57956168809</v>
      </c>
      <c r="I46" s="46"/>
      <c r="J46" s="47">
        <f>IF(A46="","",SUM(F$18:F46)+SUM(G$18:G46))</f>
        <v>77200</v>
      </c>
      <c r="K46" s="47">
        <f>IF(A46="","",SUM(D$18:D46))</f>
        <v>76940.579561688093</v>
      </c>
    </row>
    <row r="47" spans="1:11" x14ac:dyDescent="0.35">
      <c r="A47" s="40">
        <f t="shared" si="4"/>
        <v>29</v>
      </c>
      <c r="C47" s="42">
        <f t="shared" si="2"/>
        <v>0.04</v>
      </c>
      <c r="D47" s="47">
        <f t="shared" si="0"/>
        <v>6324.417613081343</v>
      </c>
      <c r="E47" s="48"/>
      <c r="F47" s="47">
        <f t="shared" si="1"/>
        <v>2400</v>
      </c>
      <c r="G47" s="49"/>
      <c r="H47" s="47">
        <f t="shared" si="3"/>
        <v>162864.99717476944</v>
      </c>
      <c r="I47" s="46"/>
      <c r="J47" s="47">
        <f>IF(A47="","",SUM(F$18:F47)+SUM(G$18:G47))</f>
        <v>79600</v>
      </c>
      <c r="K47" s="47">
        <f>IF(A47="","",SUM(D$18:D47))</f>
        <v>83264.997174769436</v>
      </c>
    </row>
    <row r="48" spans="1:11" x14ac:dyDescent="0.35">
      <c r="A48" s="40">
        <f t="shared" si="4"/>
        <v>30</v>
      </c>
      <c r="C48" s="42">
        <f t="shared" si="2"/>
        <v>0.04</v>
      </c>
      <c r="D48" s="47">
        <f t="shared" si="0"/>
        <v>6679.8638477148488</v>
      </c>
      <c r="E48" s="48"/>
      <c r="F48" s="47">
        <f t="shared" si="1"/>
        <v>2400</v>
      </c>
      <c r="G48" s="49"/>
      <c r="H48" s="47">
        <f t="shared" si="3"/>
        <v>171944.86102248429</v>
      </c>
      <c r="I48" s="46"/>
      <c r="J48" s="47">
        <f>IF(A48="","",SUM(F$18:F48)+SUM(G$18:G48))</f>
        <v>82000</v>
      </c>
      <c r="K48" s="47">
        <f>IF(A48="","",SUM(D$18:D48))</f>
        <v>89944.861022484285</v>
      </c>
    </row>
    <row r="49" spans="1:11" x14ac:dyDescent="0.35">
      <c r="A49" s="40" t="str">
        <f t="shared" si="4"/>
        <v/>
      </c>
      <c r="C49" s="42" t="str">
        <f t="shared" si="2"/>
        <v/>
      </c>
      <c r="D49" s="47" t="str">
        <f t="shared" si="0"/>
        <v/>
      </c>
      <c r="E49" s="48"/>
      <c r="F49" s="47" t="str">
        <f t="shared" si="1"/>
        <v/>
      </c>
      <c r="G49" s="49"/>
      <c r="H49" s="47" t="str">
        <f t="shared" si="3"/>
        <v/>
      </c>
      <c r="I49" s="46"/>
      <c r="J49" s="47" t="str">
        <f>IF(A49="","",SUM(F$18:F49)+SUM(G$18:G49))</f>
        <v/>
      </c>
      <c r="K49" s="47" t="str">
        <f>IF(A49="","",SUM(D$18:D49))</f>
        <v/>
      </c>
    </row>
    <row r="50" spans="1:11" x14ac:dyDescent="0.35">
      <c r="A50" s="40" t="str">
        <f t="shared" si="4"/>
        <v/>
      </c>
      <c r="C50" s="42" t="str">
        <f t="shared" si="2"/>
        <v/>
      </c>
      <c r="D50" s="47" t="str">
        <f t="shared" si="0"/>
        <v/>
      </c>
      <c r="E50" s="48"/>
      <c r="F50" s="47" t="str">
        <f t="shared" si="1"/>
        <v/>
      </c>
      <c r="G50" s="49"/>
      <c r="H50" s="47" t="str">
        <f t="shared" si="3"/>
        <v/>
      </c>
      <c r="I50" s="46"/>
      <c r="J50" s="47" t="str">
        <f>IF(A50="","",SUM(F$18:F50)+SUM(G$18:G50))</f>
        <v/>
      </c>
      <c r="K50" s="47" t="str">
        <f>IF(A50="","",SUM(D$18:D50))</f>
        <v/>
      </c>
    </row>
    <row r="51" spans="1:11" x14ac:dyDescent="0.35">
      <c r="A51" s="40" t="str">
        <f t="shared" si="4"/>
        <v/>
      </c>
      <c r="C51" s="42" t="str">
        <f t="shared" si="2"/>
        <v/>
      </c>
      <c r="D51" s="47" t="str">
        <f t="shared" si="0"/>
        <v/>
      </c>
      <c r="E51" s="48"/>
      <c r="F51" s="47" t="str">
        <f t="shared" si="1"/>
        <v/>
      </c>
      <c r="G51" s="49"/>
      <c r="H51" s="47" t="str">
        <f t="shared" si="3"/>
        <v/>
      </c>
      <c r="I51" s="46"/>
      <c r="J51" s="47" t="str">
        <f>IF(A51="","",SUM(F$18:F51)+SUM(G$18:G51))</f>
        <v/>
      </c>
      <c r="K51" s="47" t="str">
        <f>IF(A51="","",SUM(D$18:D51))</f>
        <v/>
      </c>
    </row>
    <row r="52" spans="1:11" x14ac:dyDescent="0.35">
      <c r="A52" s="40" t="str">
        <f t="shared" si="4"/>
        <v/>
      </c>
      <c r="C52" s="42" t="str">
        <f t="shared" si="2"/>
        <v/>
      </c>
      <c r="D52" s="47" t="str">
        <f t="shared" si="0"/>
        <v/>
      </c>
      <c r="E52" s="48"/>
      <c r="F52" s="47" t="str">
        <f t="shared" si="1"/>
        <v/>
      </c>
      <c r="G52" s="49"/>
      <c r="H52" s="47" t="str">
        <f t="shared" si="3"/>
        <v/>
      </c>
      <c r="I52" s="46"/>
      <c r="J52" s="47" t="str">
        <f>IF(A52="","",SUM(F$18:F52)+SUM(G$18:G52))</f>
        <v/>
      </c>
      <c r="K52" s="47" t="str">
        <f>IF(A52="","",SUM(D$18:D52))</f>
        <v/>
      </c>
    </row>
    <row r="53" spans="1:11" x14ac:dyDescent="0.35">
      <c r="A53" s="40" t="str">
        <f t="shared" si="4"/>
        <v/>
      </c>
      <c r="C53" s="42" t="str">
        <f t="shared" si="2"/>
        <v/>
      </c>
      <c r="D53" s="47" t="str">
        <f t="shared" si="0"/>
        <v/>
      </c>
      <c r="E53" s="48"/>
      <c r="F53" s="47" t="str">
        <f t="shared" si="1"/>
        <v/>
      </c>
      <c r="G53" s="49"/>
      <c r="H53" s="47" t="str">
        <f t="shared" si="3"/>
        <v/>
      </c>
      <c r="I53" s="46"/>
      <c r="J53" s="47" t="str">
        <f>IF(A53="","",SUM(F$18:F53)+SUM(G$18:G53))</f>
        <v/>
      </c>
      <c r="K53" s="47" t="str">
        <f>IF(A53="","",SUM(D$18:D53))</f>
        <v/>
      </c>
    </row>
    <row r="54" spans="1:11" x14ac:dyDescent="0.35">
      <c r="A54" s="40" t="str">
        <f t="shared" si="4"/>
        <v/>
      </c>
      <c r="C54" s="42" t="str">
        <f t="shared" si="2"/>
        <v/>
      </c>
      <c r="D54" s="47" t="str">
        <f t="shared" si="0"/>
        <v/>
      </c>
      <c r="E54" s="48"/>
      <c r="F54" s="47" t="str">
        <f t="shared" si="1"/>
        <v/>
      </c>
      <c r="G54" s="49"/>
      <c r="H54" s="47" t="str">
        <f t="shared" si="3"/>
        <v/>
      </c>
      <c r="I54" s="46"/>
      <c r="J54" s="47" t="str">
        <f>IF(A54="","",SUM(F$18:F54)+SUM(G$18:G54))</f>
        <v/>
      </c>
      <c r="K54" s="47" t="str">
        <f>IF(A54="","",SUM(D$18:D54))</f>
        <v/>
      </c>
    </row>
    <row r="55" spans="1:11" x14ac:dyDescent="0.35">
      <c r="A55" s="40" t="str">
        <f t="shared" si="4"/>
        <v/>
      </c>
      <c r="C55" s="42" t="str">
        <f t="shared" si="2"/>
        <v/>
      </c>
      <c r="D55" s="47" t="str">
        <f t="shared" si="0"/>
        <v/>
      </c>
      <c r="E55" s="48"/>
      <c r="F55" s="47" t="str">
        <f t="shared" si="1"/>
        <v/>
      </c>
      <c r="G55" s="49"/>
      <c r="H55" s="47" t="str">
        <f t="shared" si="3"/>
        <v/>
      </c>
      <c r="I55" s="46"/>
      <c r="J55" s="47" t="str">
        <f>IF(A55="","",SUM(F$18:F55)+SUM(G$18:G55))</f>
        <v/>
      </c>
      <c r="K55" s="47" t="str">
        <f>IF(A55="","",SUM(D$18:D55))</f>
        <v/>
      </c>
    </row>
    <row r="56" spans="1:11" x14ac:dyDescent="0.35">
      <c r="A56" s="40" t="str">
        <f t="shared" si="4"/>
        <v/>
      </c>
      <c r="C56" s="42" t="str">
        <f t="shared" si="2"/>
        <v/>
      </c>
      <c r="D56" s="47" t="str">
        <f t="shared" si="0"/>
        <v/>
      </c>
      <c r="E56" s="48"/>
      <c r="F56" s="47" t="str">
        <f t="shared" si="1"/>
        <v/>
      </c>
      <c r="G56" s="49"/>
      <c r="H56" s="47" t="str">
        <f t="shared" si="3"/>
        <v/>
      </c>
      <c r="I56" s="46"/>
      <c r="J56" s="47" t="str">
        <f>IF(A56="","",SUM(F$18:F56)+SUM(G$18:G56))</f>
        <v/>
      </c>
      <c r="K56" s="47" t="str">
        <f>IF(A56="","",SUM(D$18:D56))</f>
        <v/>
      </c>
    </row>
    <row r="57" spans="1:11" x14ac:dyDescent="0.35">
      <c r="A57" s="40" t="str">
        <f t="shared" si="4"/>
        <v/>
      </c>
      <c r="C57" s="42" t="str">
        <f t="shared" si="2"/>
        <v/>
      </c>
      <c r="D57" s="47" t="str">
        <f t="shared" si="0"/>
        <v/>
      </c>
      <c r="E57" s="48"/>
      <c r="F57" s="47" t="str">
        <f t="shared" si="1"/>
        <v/>
      </c>
      <c r="G57" s="49"/>
      <c r="H57" s="47" t="str">
        <f t="shared" si="3"/>
        <v/>
      </c>
      <c r="I57" s="46"/>
      <c r="J57" s="47" t="str">
        <f>IF(A57="","",SUM(F$18:F57)+SUM(G$18:G57))</f>
        <v/>
      </c>
      <c r="K57" s="47" t="str">
        <f>IF(A57="","",SUM(D$18:D57))</f>
        <v/>
      </c>
    </row>
    <row r="58" spans="1:11" x14ac:dyDescent="0.35">
      <c r="A58" s="40" t="str">
        <f t="shared" si="4"/>
        <v/>
      </c>
      <c r="C58" s="42" t="str">
        <f t="shared" si="2"/>
        <v/>
      </c>
      <c r="D58" s="47" t="str">
        <f t="shared" si="0"/>
        <v/>
      </c>
      <c r="E58" s="48"/>
      <c r="F58" s="47" t="str">
        <f t="shared" si="1"/>
        <v/>
      </c>
      <c r="G58" s="49"/>
      <c r="H58" s="47" t="str">
        <f t="shared" si="3"/>
        <v/>
      </c>
      <c r="I58" s="46"/>
      <c r="J58" s="47" t="str">
        <f>IF(A58="","",SUM(F$18:F58)+SUM(G$18:G58))</f>
        <v/>
      </c>
      <c r="K58" s="47" t="str">
        <f>IF(A58="","",SUM(D$18:D58))</f>
        <v/>
      </c>
    </row>
    <row r="59" spans="1:11" x14ac:dyDescent="0.35">
      <c r="A59" s="40" t="str">
        <f t="shared" si="4"/>
        <v/>
      </c>
      <c r="C59" s="42" t="str">
        <f t="shared" si="2"/>
        <v/>
      </c>
      <c r="D59" s="47" t="str">
        <f t="shared" si="0"/>
        <v/>
      </c>
      <c r="E59" s="48"/>
      <c r="F59" s="47" t="str">
        <f t="shared" si="1"/>
        <v/>
      </c>
      <c r="G59" s="49"/>
      <c r="H59" s="47" t="str">
        <f t="shared" si="3"/>
        <v/>
      </c>
      <c r="I59" s="46"/>
      <c r="J59" s="47" t="str">
        <f>IF(A59="","",SUM(F$18:F59)+SUM(G$18:G59))</f>
        <v/>
      </c>
      <c r="K59" s="47" t="str">
        <f>IF(A59="","",SUM(D$18:D59))</f>
        <v/>
      </c>
    </row>
    <row r="60" spans="1:11" x14ac:dyDescent="0.35">
      <c r="A60" s="41"/>
      <c r="C60" s="43"/>
      <c r="D60" s="50"/>
      <c r="E60" s="50"/>
      <c r="F60" s="50"/>
      <c r="G60" s="50"/>
      <c r="H60" s="50"/>
      <c r="I60" s="50"/>
      <c r="J60" s="50"/>
      <c r="K60" s="50"/>
    </row>
    <row r="61" spans="1:11" x14ac:dyDescent="0.35">
      <c r="A61" s="41"/>
      <c r="C61" s="43"/>
      <c r="D61" s="50"/>
      <c r="E61" s="50"/>
      <c r="F61" s="50"/>
      <c r="G61" s="50"/>
      <c r="H61" s="50"/>
      <c r="I61" s="50"/>
      <c r="J61" s="50"/>
      <c r="K61" s="50"/>
    </row>
    <row r="62" spans="1:11" x14ac:dyDescent="0.35">
      <c r="A62" s="41"/>
      <c r="C62" s="43"/>
      <c r="D62" s="50"/>
      <c r="E62" s="50"/>
      <c r="F62" s="50"/>
      <c r="G62" s="50"/>
      <c r="H62" s="50"/>
      <c r="I62" s="50"/>
      <c r="J62" s="50"/>
      <c r="K62" s="50"/>
    </row>
    <row r="63" spans="1:11" x14ac:dyDescent="0.35">
      <c r="A63" s="41"/>
      <c r="C63" s="43"/>
      <c r="D63" s="50"/>
      <c r="E63" s="50"/>
      <c r="F63" s="50"/>
      <c r="G63" s="50"/>
      <c r="H63" s="50"/>
      <c r="I63" s="50"/>
      <c r="J63" s="50"/>
      <c r="K63" s="50"/>
    </row>
    <row r="64" spans="1:11" x14ac:dyDescent="0.35">
      <c r="A64" s="41"/>
      <c r="C64" s="43"/>
      <c r="D64" s="50"/>
      <c r="E64" s="50"/>
      <c r="F64" s="50"/>
      <c r="G64" s="50"/>
      <c r="H64" s="50"/>
      <c r="I64" s="50"/>
      <c r="J64" s="50"/>
      <c r="K64" s="50"/>
    </row>
    <row r="65" spans="1:11" x14ac:dyDescent="0.35">
      <c r="A65" s="41"/>
      <c r="C65" s="43"/>
      <c r="D65" s="50"/>
      <c r="E65" s="50"/>
      <c r="F65" s="50"/>
      <c r="G65" s="50"/>
      <c r="H65" s="50"/>
      <c r="I65" s="50"/>
      <c r="J65" s="50"/>
      <c r="K65" s="50"/>
    </row>
    <row r="66" spans="1:11" x14ac:dyDescent="0.35">
      <c r="A66" s="41"/>
      <c r="C66" s="43"/>
      <c r="D66" s="50"/>
      <c r="E66" s="50"/>
      <c r="F66" s="50"/>
      <c r="G66" s="50"/>
      <c r="H66" s="50"/>
      <c r="I66" s="50"/>
      <c r="J66" s="50"/>
      <c r="K66" s="50"/>
    </row>
    <row r="67" spans="1:11" x14ac:dyDescent="0.35">
      <c r="A67" s="41"/>
      <c r="C67" s="43"/>
      <c r="D67" s="50"/>
      <c r="E67" s="50"/>
      <c r="F67" s="50"/>
      <c r="G67" s="50"/>
      <c r="H67" s="50"/>
      <c r="I67" s="50"/>
      <c r="J67" s="50"/>
      <c r="K67" s="50"/>
    </row>
    <row r="68" spans="1:11" x14ac:dyDescent="0.35">
      <c r="A68" s="41"/>
      <c r="C68" s="43"/>
      <c r="D68" s="50"/>
      <c r="E68" s="50"/>
      <c r="F68" s="50"/>
      <c r="G68" s="50"/>
      <c r="H68" s="50"/>
      <c r="I68" s="50"/>
      <c r="J68" s="50"/>
      <c r="K68" s="50"/>
    </row>
    <row r="69" spans="1:11" x14ac:dyDescent="0.35">
      <c r="A69" s="41"/>
      <c r="C69" s="43"/>
      <c r="D69" s="50"/>
      <c r="E69" s="50"/>
      <c r="F69" s="50"/>
      <c r="G69" s="50"/>
      <c r="H69" s="50"/>
      <c r="I69" s="50"/>
      <c r="J69" s="50"/>
      <c r="K69" s="50"/>
    </row>
    <row r="70" spans="1:11" x14ac:dyDescent="0.35">
      <c r="A70" s="41"/>
      <c r="C70" s="43"/>
    </row>
    <row r="71" spans="1:11" x14ac:dyDescent="0.35">
      <c r="A71" s="41"/>
      <c r="C71" s="43"/>
    </row>
    <row r="72" spans="1:11" x14ac:dyDescent="0.35">
      <c r="A72" s="41"/>
      <c r="C72" s="43"/>
    </row>
    <row r="73" spans="1:11" x14ac:dyDescent="0.35">
      <c r="A73" s="41"/>
      <c r="C73" s="43"/>
    </row>
    <row r="74" spans="1:11" x14ac:dyDescent="0.35">
      <c r="A74" s="41"/>
      <c r="C74" s="43"/>
    </row>
    <row r="75" spans="1:11" x14ac:dyDescent="0.35">
      <c r="A75" s="41"/>
      <c r="C75" s="43"/>
    </row>
    <row r="76" spans="1:11" x14ac:dyDescent="0.35">
      <c r="A76" s="41"/>
      <c r="C76" s="43"/>
    </row>
    <row r="77" spans="1:11" x14ac:dyDescent="0.35">
      <c r="A77" s="41"/>
    </row>
    <row r="78" spans="1:11" x14ac:dyDescent="0.35">
      <c r="A78" s="41"/>
    </row>
    <row r="79" spans="1:11" x14ac:dyDescent="0.35">
      <c r="A79" s="41"/>
    </row>
    <row r="80" spans="1:11" x14ac:dyDescent="0.35">
      <c r="A80" s="41"/>
    </row>
    <row r="81" spans="1:1" x14ac:dyDescent="0.35">
      <c r="A81" s="41"/>
    </row>
    <row r="82" spans="1:1" x14ac:dyDescent="0.35">
      <c r="A82" s="41"/>
    </row>
    <row r="83" spans="1:1" x14ac:dyDescent="0.35">
      <c r="A83" s="41"/>
    </row>
    <row r="84" spans="1:1" x14ac:dyDescent="0.35">
      <c r="A84" s="41"/>
    </row>
    <row r="85" spans="1:1" x14ac:dyDescent="0.35">
      <c r="A85" s="41"/>
    </row>
    <row r="86" spans="1:1" x14ac:dyDescent="0.35">
      <c r="A86" s="41"/>
    </row>
    <row r="87" spans="1:1" x14ac:dyDescent="0.35">
      <c r="A87" s="41"/>
    </row>
    <row r="88" spans="1:1" x14ac:dyDescent="0.35">
      <c r="A88" s="41"/>
    </row>
    <row r="89" spans="1:1" x14ac:dyDescent="0.35">
      <c r="A89" s="41"/>
    </row>
  </sheetData>
  <conditionalFormatting sqref="A19:A59">
    <cfRule type="expression" dxfId="11" priority="3" stopIfTrue="1">
      <formula>ISERROR(A19)</formula>
    </cfRule>
    <cfRule type="expression" dxfId="10" priority="4" stopIfTrue="1">
      <formula>MOD(ROW(),2)=1</formula>
    </cfRule>
  </conditionalFormatting>
  <conditionalFormatting sqref="B19:B20">
    <cfRule type="expression" dxfId="9" priority="8" stopIfTrue="1">
      <formula>ISERROR(A19)</formula>
    </cfRule>
    <cfRule type="expression" dxfId="8" priority="9" stopIfTrue="1">
      <formula>MOD(ROW(),2)=1</formula>
    </cfRule>
  </conditionalFormatting>
  <conditionalFormatting sqref="C19:D59">
    <cfRule type="expression" dxfId="7" priority="1" stopIfTrue="1">
      <formula>ISERROR(C19)</formula>
    </cfRule>
    <cfRule type="expression" dxfId="6" priority="2" stopIfTrue="1">
      <formula>MOD(ROW(),2)=1</formula>
    </cfRule>
  </conditionalFormatting>
  <conditionalFormatting sqref="E8">
    <cfRule type="expression" dxfId="5" priority="12" stopIfTrue="1">
      <formula>randrate</formula>
    </cfRule>
  </conditionalFormatting>
  <conditionalFormatting sqref="E19:E59">
    <cfRule type="expression" dxfId="4" priority="10" stopIfTrue="1">
      <formula>ISERROR(A19)</formula>
    </cfRule>
    <cfRule type="expression" dxfId="3" priority="11" stopIfTrue="1">
      <formula>MOD(ROW(),2)=1</formula>
    </cfRule>
  </conditionalFormatting>
  <conditionalFormatting sqref="F19:F59 H19:H59 J19:K59">
    <cfRule type="expression" dxfId="2" priority="6" stopIfTrue="1">
      <formula>ISERROR(F19)</formula>
    </cfRule>
    <cfRule type="expression" dxfId="1" priority="7" stopIfTrue="1">
      <formula>MOD(ROW(),2)=1</formula>
    </cfRule>
  </conditionalFormatting>
  <conditionalFormatting sqref="G19:G59">
    <cfRule type="expression" dxfId="0" priority="5" stopIfTrue="1">
      <formula>MOD(ROW(),2)=1</formula>
    </cfRule>
  </conditionalFormatting>
  <dataValidations count="1">
    <dataValidation type="list" allowBlank="1" showInputMessage="1" showErrorMessage="1" sqref="E12" xr:uid="{A767C0C1-87F7-4EDA-9EB6-76BDA7303D37}">
      <formula1>"Annually,Semi-Annually,Quarterly,Bi-Monthly,Monthly,Semi-Monthly,Bi-Weekly,Weekly,Daily"</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randrate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Basem Masarweh</dc:creator>
  <cp:lastModifiedBy>Basem Masarweh</cp:lastModifiedBy>
  <dcterms:created xsi:type="dcterms:W3CDTF">2026-02-09T08:21:19Z</dcterms:created>
  <dcterms:modified xsi:type="dcterms:W3CDTF">2026-03-11T09:13:12Z</dcterms:modified>
</cp:coreProperties>
</file>